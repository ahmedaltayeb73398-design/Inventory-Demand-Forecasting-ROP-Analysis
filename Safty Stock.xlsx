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tables/table6.xml" ContentType="application/vnd.openxmlformats-officedocument.spreadsheetml.table+xml"/>
  <Override PartName="/xl/queryTables/queryTable2.xml" ContentType="application/vnd.openxmlformats-officedocument.spreadsheetml.queryTable+xml"/>
  <Override PartName="/xl/tables/table7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8.xml" ContentType="application/vnd.openxmlformats-officedocument.spreadsheetml.table+xml"/>
  <Override PartName="/xl/queryTables/queryTable4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ower BI Projects\Inventory Management\"/>
    </mc:Choice>
  </mc:AlternateContent>
  <bookViews>
    <workbookView xWindow="0" yWindow="0" windowWidth="14380" windowHeight="4330" activeTab="4"/>
  </bookViews>
  <sheets>
    <sheet name="Products" sheetId="1" r:id="rId1"/>
    <sheet name="Cleaned Data" sheetId="5" r:id="rId2"/>
    <sheet name="Purchase" sheetId="8" r:id="rId3"/>
    <sheet name="Opening" sheetId="9" r:id="rId4"/>
    <sheet name="Inventory_Movement" sheetId="10" r:id="rId5"/>
    <sheet name="Sales" sheetId="7" r:id="rId6"/>
    <sheet name="Product Analysis" sheetId="11" r:id="rId7"/>
  </sheets>
  <definedNames>
    <definedName name="_xlcn.WorksheetConnection_Book1.xlsxSales" hidden="1">Sales[]</definedName>
    <definedName name="_xlcn.WorksheetConnection_Book1Opening" hidden="1">Open[]</definedName>
    <definedName name="_xlcn.WorksheetConnection_Book1Products" hidden="1">Products[]</definedName>
    <definedName name="_xlcn.WorksheetConnection_Book1Purchase" hidden="1">Purch[]</definedName>
    <definedName name="_xlcn.WorksheetConnection_Book1Sales" hidden="1">Sale[]</definedName>
    <definedName name="Average_Selling_Price">Sales!$I$4</definedName>
    <definedName name="ExternalData_1" localSheetId="4" hidden="1">Inventory_Movement!$A$1:$E$464</definedName>
    <definedName name="ExternalData_1" localSheetId="3" hidden="1">Opening!$A$1:$B$51</definedName>
    <definedName name="ExternalData_1" localSheetId="2" hidden="1">Purchase!$A$1:$G$41</definedName>
    <definedName name="ExternalData_1" localSheetId="5" hidden="1">Sales!$A$1:$G$101</definedName>
    <definedName name="Total_Purchased_Units">Purchase!$K$3</definedName>
    <definedName name="Total_Purchases">Purchase!$K$2</definedName>
    <definedName name="Total_Revenue">Sales!$J$2</definedName>
    <definedName name="Total_Stock_In">Inventory_Movement!$I$2</definedName>
    <definedName name="Total_Stock_Out">Inventory_Movement!$I$3</definedName>
    <definedName name="Total_Units_Sold">Sales!$J$3</definedName>
    <definedName name="Weekly_Demand_P1">Sales!$K$8:$K$17</definedName>
    <definedName name="Weekly_Demand_P15">Sales!$K$30:$K$40</definedName>
    <definedName name="Weekly_Demand_P16">Sales!$K$41:$K$52</definedName>
    <definedName name="Weekly_Demand_P17">Sales!$K$53</definedName>
    <definedName name="Weekly_Demand_P20">Sales!$K$54:$K$61</definedName>
    <definedName name="Weekly_Demand_P21">Sales!$K$62:$K$69</definedName>
    <definedName name="Weekly_Demand_P23">Sales!$K$70:$K$71</definedName>
    <definedName name="Weekly_Demand_P28">Sales!$K$72:$K$80</definedName>
    <definedName name="Weekly_Demand_P29">Sales!$K$81:$K$92</definedName>
    <definedName name="Weekly_Demand_P32">Sales!$K$93</definedName>
    <definedName name="Weekly_Demand_P35">Sales!$K$94:$K$102</definedName>
    <definedName name="Weekly_Demand_P37">Sales!$K$103:$K$104</definedName>
    <definedName name="Weekly_Demand_P41">Sales!$K$105:$K$106</definedName>
    <definedName name="Weekly_Demand_P43">Sales!$K$107</definedName>
    <definedName name="Weekly_Demand_P8">Sales!$K$18:$K$29</definedName>
  </definedNames>
  <calcPr calcId="152511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ales1-81c763dc-4353-4908-b405-1e709ff990c9" name="Sales1" connection="WorksheetConnection_Book1.xlsx!Sales"/>
          <x15:modelTable id="Sales-506b5798-702e-4037-bb67-5f26c30ea927" name="Sales" connection="WorksheetConnection_Book1!Sales"/>
          <x15:modelTable id="Purchase-c715c624-7ff2-4420-b1eb-175ae6eafda0" name="Purchase" connection="WorksheetConnection_Book1!Purchase"/>
          <x15:modelTable id="Products-2d6d86df-9157-4632-9445-11599e4e4342" name="Products" connection="WorksheetConnection_Book1!Products"/>
          <x15:modelTable id="Opening-63eda909-6ad8-41d5-bcb2-c47a2c118b80" name="Opening" connection="WorksheetConnection_Book1!Opening"/>
        </x15:modelTables>
        <x15:modelRelationships>
          <x15:modelRelationship fromTable="Purchase" fromColumn="Product_ID" toTable="Products" toColumn="Product_ID"/>
          <x15:modelRelationship fromTable="Sales" fromColumn="Product_ID" toTable="Products" toColumn="Product_ID"/>
          <x15:modelRelationship fromTable="Opening" fromColumn="Product_ID" toTable="Products" toColumn="Product_ID"/>
        </x15:modelRelationships>
      </x15:dataModel>
    </ext>
  </extLst>
</workbook>
</file>

<file path=xl/calcChain.xml><?xml version="1.0" encoding="utf-8"?>
<calcChain xmlns="http://schemas.openxmlformats.org/spreadsheetml/2006/main">
  <c r="G3" i="11" l="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2" i="11"/>
  <c r="F2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D15" i="11"/>
  <c r="D14" i="11"/>
  <c r="D13" i="11"/>
  <c r="D11" i="11"/>
  <c r="D10" i="11"/>
  <c r="D9" i="11"/>
  <c r="D8" i="11"/>
  <c r="D2" i="11"/>
  <c r="D3" i="11"/>
  <c r="D4" i="11"/>
  <c r="D5" i="11"/>
  <c r="D7" i="11"/>
  <c r="C2" i="11" l="1"/>
  <c r="C3" i="11"/>
  <c r="C4" i="11"/>
  <c r="C5" i="11"/>
  <c r="C6" i="11"/>
  <c r="C7" i="11"/>
  <c r="C8" i="11"/>
  <c r="C9" i="11"/>
  <c r="C10" i="11"/>
  <c r="C11" i="11"/>
  <c r="C12" i="11"/>
  <c r="C13" i="11"/>
  <c r="C14" i="11"/>
  <c r="C15" i="11"/>
  <c r="C16" i="11"/>
  <c r="B9" i="11"/>
  <c r="B10" i="11"/>
  <c r="B2" i="1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B3" i="11"/>
  <c r="B4" i="11"/>
  <c r="B5" i="11"/>
  <c r="B6" i="11"/>
  <c r="B7" i="11"/>
  <c r="B8" i="11"/>
  <c r="B11" i="11"/>
  <c r="B12" i="11"/>
  <c r="B13" i="11"/>
  <c r="B14" i="11"/>
  <c r="B15" i="11"/>
  <c r="B16" i="11"/>
  <c r="J3" i="7"/>
  <c r="J4" i="7" s="1"/>
  <c r="I3" i="10"/>
  <c r="I2" i="10"/>
  <c r="K3" i="8"/>
  <c r="K2" i="8"/>
  <c r="J2" i="7"/>
</calcChain>
</file>

<file path=xl/connections.xml><?xml version="1.0" encoding="utf-8"?>
<connections xmlns="http://schemas.openxmlformats.org/spreadsheetml/2006/main">
  <connection id="1" keepAlive="1" name="Query - Inventory_Movement" description="Connection to the 'Inventory_Movement' query in the workbook." type="5" refreshedVersion="5" background="1" saveData="1">
    <dbPr connection="provider=Microsoft.Mashup.OleDb.1;data source=$EmbeddedMashup(6e8cb000-ef7d-42be-9270-7f96dd434333)$;location=Inventory_Movement;extended properties=&quot;UEsDBBQAAgAIAOdyaV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ncml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53JpXBj0UZjUAgAAOgoAABMAHABGb3JtdWxhcy9TZWN0aW9uMS5tIKIYACigFAAAAAAAAAAAAAAAAAAAAAAAAAAAAMWWS2/aQBCA70j8h5V7Ia1rKVLVQysOiZOqtCGQQtWDg6yNPQlu7F20u05AiP/e8fr9INCqanMJzOzOfPNcJHgq4IzM0v+nH/u9fk8uqQCfzGgIkgxJCKrfI/g347HwACWXaw9Cy46FAKZ+cPF4x/nj4GTrXNMIhoa+aCx2js2ZwhMLM73/yrCXlD2g6flmBQYamtO7EKy5oEzecxHZPIwjlijlIHVmbrfanDu6MEyiUEMUrNXOJFvjgirIhT5+VkEEWjEV3I891XXnJqZMBWqDihFT799ZiTOt+c4C5U5F4BU2WRzdgdDKOVc0dNO46trdSWdwpweia6QiCbMZDpru9wLWbb1apykmakklvFCqokafAiTKyiIHhv3hdsqfQZDzEcGs/cQukLcj9oRaLjZkTBl9gAi/3Z7j7VNrHcq1cWJi8GGIqCKGPPwcwp0tARQ6Tgm2zkhBNDRytWF+DZiPLZKcSloEo6ZlfyBDxBXG9BmoD0KWWcw0mXxQd2cSJ9OfheHMoyEVcpjQLbqrc7A4LY6kQNNJV0dNBB5wW8U7sg9dfR38dj/aXO7vxyvEmmO7169VevHM95HejqXiURktStM4W/1HshYv8oruUQrUWxKnCbt47ZR0e1J8eABqiEl+Ownqs3bcQExWwAL28F/nIWPYMw6Z9m9NQ83ZPxqG/b1d0CjuPTY7dF8FawUsMu6O+ZPOd2ctU+prkAj3hQcsz4NZw9uZeUs15ZWtlFxPamFdwb2axApEmawxiITyJgYRQKUIFcf5Y1W3r9+LltPsFXnJ4+V6RZlfWe2l01SlPxej3ADEYS4D69o16XLKjlhtdQdICv0iRRsaQfIns/Lyau9abpWy0uU3YPgjAheDtlvxmSoy8aDFpptyb0yIUsgC1slQPcJjZfzeOm1io7Xs9xHJ5yBdprXpWLxxKliLt06V4E/ntbVYmyCNl6YW9dHj+gtQSwECLQAUAAIACADncmlckT/WPKsAAAD6AAAAEgAAAAAAAAAAAAAAAAAAAAAAQ29uZmlnL1BhY2thZ2UueG1sUEsBAi0AFAACAAgA53JpXA/K6aukAAAA6QAAABMAAAAAAAAAAAAAAAAA9wAAAFtDb250ZW50X1R5cGVzXS54bWxQSwECLQAUAAIACADncmlcGPRRmNQCAAA6CgAAEwAAAAAAAAAAAAAAAADoAQAARm9ybXVsYXMvU2VjdGlvbjEubVBLBQYAAAAAAwADAMIAAAAJBQAAAAA=&quot;" command="SELECT * FROM [Inventory_Movement]"/>
  </connection>
  <connection id="2" keepAlive="1" name="Query - Opening" description="Connection to the 'Opening' query in the workbook." type="5" refreshedVersion="5" background="1" saveData="1">
    <dbPr connection="provider=Microsoft.Mashup.OleDb.1;data source=$EmbeddedMashup(6e8cb000-ef7d-42be-9270-7f96dd434333)$;location=Opening;extended properties=UEsDBBQAAgAIAOdyaV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ncml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53JpXDdpwjsoAQAA0gEAABMAHABGb3JtdWxhcy9TZWN0aW9uMS5tIKIYACigFAAAAAAAAAAAAAAAAAAAAAAAAAAAAG2PUUvDMBDH3wv9DiG+tBAKA/HB0QfXKRYRBx34sI2RtedWlyYjuWpH6Xf3astEWF5C7n/53e8c5FgazbLhnkx9z/fcQVoo2NsJdKn3LGYK0PcYnczUNgeqPDY5qOjd2OPOmGPwVCqIEqMRNLqAJ/frhfkGy2YpW1jzSXC3TvUXpcae2avUcg8VvdYz+j2JGuUaHgqma6UEQ1tDKIaBo8M2OwAgzR0E2lWKUMV8TLl4KXUR898mvulWc4lyMxJuOBlUBmmhZ5AFWMeJs5Q7Mh6TsR78GybYaowflMpyqaR1ca+2CS/k5CD1nsDL8wn+qEsrtfswtkqMqivdhy64oiHati8WdY7bdM5pcepkCA12grX8YoMmP1Kaary7jXpa14W+V+qrFtMfUEsBAi0AFAACAAgA53JpXJE/1jyrAAAA+gAAABIAAAAAAAAAAAAAAAAAAAAAAENvbmZpZy9QYWNrYWdlLnhtbFBLAQItABQAAgAIAOdyaVwPyumrpAAAAOkAAAATAAAAAAAAAAAAAAAAAPcAAABbQ29udGVudF9UeXBlc10ueG1sUEsBAi0AFAACAAgA53JpXDdpwjsoAQAA0gEAABMAAAAAAAAAAAAAAAAA6AEAAEZvcm11bGFzL1NlY3Rpb24xLm1QSwUGAAAAAAMAAwDCAAAAXQMAAAAA" command="SELECT * FROM [Opening]"/>
  </connection>
  <connection id="3" keepAlive="1" name="Query - Purchase" description="Connection to the 'Purchase' query in the workbook." type="5" refreshedVersion="5" background="1" saveData="1">
    <dbPr connection="provider=Microsoft.Mashup.OleDb.1;data source=$EmbeddedMashup(6e8cb000-ef7d-42be-9270-7f96dd434333)$;location=Purchase;extended properties=&quot;UEsDBBQAAgAIAOdyaV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ncml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53JpXDFPSvaQAQAAIgMAABMAHABGb3JtdWxhcy9TZWN0aW9uMS5tIKIYACigFAAAAAAAAAAAAAAAAAAAAAAAAAAAAIWQT2vCQBDF74LfYdleYgmCUHqoeNDY0tAWUwz0ECWsydSkbnbL7qRVxO/eSfxXxdJcksybefN7YyHBXCs23r473Waj2bCZMJCyoDRJJiywHpOAzQajZ6ypWFXulwnI9ps2i5nWC+chl9D2tEJQaB3u3U0C/Q2GDXwWGP1B7nbiqy9StVmxF6HEHAr6mwxoutNeSrvkLZepUkqXoSmh5W4X7iHicQaAtHhLsI58hKLH9zJ3n3KV9njdxaebaChQTHceV5wYCo2U6RFECsZyMgrFjJh3yq7unK5zWbTT+1KOEyGFsb2Kbto6WHuZUHNyDlefcLQNjVD2XZvC07IsVCVa5wKHu17zYBT7Q06xqYkhLHHjsjUfGWqIKQbspZS+a4lc0jLBS1OvpVCY4yquxyGlBl/h7U27Iqg7PG0xDkyeHHxVWczA1OIzYYV5Aadjm2PafpoSvVda1MUxLVW3OZ2ze7iMhxqFjA93pfVUBZFkLDqHnV5HR7o/Ttz598YniNV9LxL8Tr5pNRu5uryt+wNQSwECLQAUAAIACADncmlckT/WPKsAAAD6AAAAEgAAAAAAAAAAAAAAAAAAAAAAQ29uZmlnL1BhY2thZ2UueG1sUEsBAi0AFAACAAgA53JpXA/K6aukAAAA6QAAABMAAAAAAAAAAAAAAAAA9wAAAFtDb250ZW50X1R5cGVzXS54bWxQSwECLQAUAAIACADncmlcMU9K9pABAAAiAwAAEwAAAAAAAAAAAAAAAADoAQAARm9ybXVsYXMvU2VjdGlvbjEubVBLBQYAAAAAAwADAMIAAADFAwAAAAA=&quot;" command="SELECT * FROM [Purchase]"/>
  </connection>
  <connection id="4" keepAlive="1" name="Query - Sales" description="Connection to the 'Sales' query in the workbook." type="5" refreshedVersion="5" background="1" saveData="1">
    <dbPr connection="provider=Microsoft.Mashup.OleDb.1;data source=$EmbeddedMashup(6e8cb000-ef7d-42be-9270-7f96dd434333)$;location=Sales;extended properties=&quot;UEsDBBQAAgAIAOdyaVyRP9Y8qwAAAPoAAAASABwAQ29uZmlnL1BhY2thZ2UueG1sIKIYACigFAAAAAAAAAAAAAAAAAAAAAAAAAAAAIWPTQ6CMBSEr0K657WUgD95lIVbSUyIxi0pFRqhGCiWu7nwSF5BE8W4czczmS+ZedzumE5t411VP+jOJCQARjxlZFdqUyVktCd/SVKBu0Kei0p5r7IZ1tOgE1Jbe1lT6pwDF0LXV5QzFtBjts1lrdrC12awhZGKfKnyP0UEHt5jBIeYQ8Q5hwULkM4xZtrMOoAIQr6KgSH9iXEzNnbslVDG3+dIZ4v080M8AVBLAwQUAAIACADncmlc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53JpXBZi3eDxAAAAuQEAABMAHABGb3JtdWxhcy9TZWN0aW9uMS5tIKIYACigFAAAAAAAAAAAAAAAAAAAAAAAAAAAAIWQsWrDMBCGd4PfQahLAsYQKF1CJqdDlpJglw4hGNm+NiLSKUgnSDB+98oyLTQYqkXiPt13/OegJWmQldO9WqdJmrizsNCxUihwbMMUUJqwcErjbQuh8nprQeWFtxaQPoy9NMZcFsv++CY0bHhs5KfhWBik8OOUTf1PvDgL/Arq6n4FHkSVaBTklRXoPo3VhVFe4wjdYhqW9X3U1bstzxgFwghuNGSs51tB8FPswpukhgj21nS+pbmegxdIku4B7JBenvNxWCTvKKneW9n+OtHrBmyElSGh6inXXzosZ8Ot/kn3sIox5mOcoE4TifP29TdQSwECLQAUAAIACADncmlckT/WPKsAAAD6AAAAEgAAAAAAAAAAAAAAAAAAAAAAQ29uZmlnL1BhY2thZ2UueG1sUEsBAi0AFAACAAgA53JpXA/K6aukAAAA6QAAABMAAAAAAAAAAAAAAAAA9wAAAFtDb250ZW50X1R5cGVzXS54bWxQSwECLQAUAAIACADncmlcFmLd4PEAAAC5AQAAEwAAAAAAAAAAAAAAAADoAQAARm9ybXVsYXMvU2VjdGlvbjEubVBLBQYAAAAAAwADAMIAAAAmAwAAAAA=&quot;" command="SELECT * FROM [Sales]"/>
  </connection>
  <connection id="5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name="WorksheetConnection_Book1!Opening" type="102" refreshedVersion="5" minRefreshableVersion="5">
    <extLst>
      <ext xmlns:x15="http://schemas.microsoft.com/office/spreadsheetml/2010/11/main" uri="{DE250136-89BD-433C-8126-D09CA5730AF9}">
        <x15:connection id="Opening-63eda909-6ad8-41d5-bcb2-c47a2c118b80">
          <x15:rangePr sourceName="_xlcn.WorksheetConnection_Book1Opening"/>
        </x15:connection>
      </ext>
    </extLst>
  </connection>
  <connection id="7" name="WorksheetConnection_Book1!Products" type="102" refreshedVersion="5" minRefreshableVersion="5">
    <extLst>
      <ext xmlns:x15="http://schemas.microsoft.com/office/spreadsheetml/2010/11/main" uri="{DE250136-89BD-433C-8126-D09CA5730AF9}">
        <x15:connection id="Products-2d6d86df-9157-4632-9445-11599e4e4342">
          <x15:rangePr sourceName="_xlcn.WorksheetConnection_Book1Products"/>
        </x15:connection>
      </ext>
    </extLst>
  </connection>
  <connection id="8" name="WorksheetConnection_Book1!Purchase" type="102" refreshedVersion="5" minRefreshableVersion="5">
    <extLst>
      <ext xmlns:x15="http://schemas.microsoft.com/office/spreadsheetml/2010/11/main" uri="{DE250136-89BD-433C-8126-D09CA5730AF9}">
        <x15:connection id="Purchase-c715c624-7ff2-4420-b1eb-175ae6eafda0">
          <x15:rangePr sourceName="_xlcn.WorksheetConnection_Book1Purchase"/>
        </x15:connection>
      </ext>
    </extLst>
  </connection>
  <connection id="9" name="WorksheetConnection_Book1!Sales" type="102" refreshedVersion="5" minRefreshableVersion="5">
    <extLst>
      <ext xmlns:x15="http://schemas.microsoft.com/office/spreadsheetml/2010/11/main" uri="{DE250136-89BD-433C-8126-D09CA5730AF9}">
        <x15:connection id="Sales-506b5798-702e-4037-bb67-5f26c30ea927">
          <x15:rangePr sourceName="_xlcn.WorksheetConnection_Book1Sales"/>
        </x15:connection>
      </ext>
    </extLst>
  </connection>
  <connection id="10" name="WorksheetConnection_Book1.xlsx!Sales" type="102" refreshedVersion="5" minRefreshableVersion="5">
    <extLst>
      <ext xmlns:x15="http://schemas.microsoft.com/office/spreadsheetml/2010/11/main" uri="{DE250136-89BD-433C-8126-D09CA5730AF9}">
        <x15:connection id="Sales1-81c763dc-4353-4908-b405-1e709ff990c9" autoDelete="1">
          <x15:rangePr sourceName="_xlcn.WorksheetConnection_Book1.xlsxSales"/>
        </x15:connection>
      </ext>
    </extLst>
  </connection>
</connections>
</file>

<file path=xl/sharedStrings.xml><?xml version="1.0" encoding="utf-8"?>
<sst xmlns="http://schemas.openxmlformats.org/spreadsheetml/2006/main" count="1463" uniqueCount="283">
  <si>
    <t>Product_ID</t>
  </si>
  <si>
    <t>Product_Name</t>
  </si>
  <si>
    <t>Category</t>
  </si>
  <si>
    <t>Cost_Price</t>
  </si>
  <si>
    <t>Selling_Price</t>
  </si>
  <si>
    <t>P001</t>
  </si>
  <si>
    <t>Almarai Fresh Milk 1L</t>
  </si>
  <si>
    <t>Dairy</t>
  </si>
  <si>
    <t>P002</t>
  </si>
  <si>
    <t>Almarai Yogurt 170g</t>
  </si>
  <si>
    <t>P003</t>
  </si>
  <si>
    <t>Lurpak Butter 200g</t>
  </si>
  <si>
    <t>P004</t>
  </si>
  <si>
    <t>Kiri Cheese 12 Portions</t>
  </si>
  <si>
    <t>P005</t>
  </si>
  <si>
    <t>Nadec Labneh 400g</t>
  </si>
  <si>
    <t>P006</t>
  </si>
  <si>
    <t>Eggs Large 30 Pack</t>
  </si>
  <si>
    <t>P007</t>
  </si>
  <si>
    <t>Almarai Cream 200ml</t>
  </si>
  <si>
    <t>P008</t>
  </si>
  <si>
    <t>Coca Cola 330ml</t>
  </si>
  <si>
    <t>Beverages</t>
  </si>
  <si>
    <t>P009</t>
  </si>
  <si>
    <t>Pepsi 330ml</t>
  </si>
  <si>
    <t>P010</t>
  </si>
  <si>
    <t>Red Bull Energy Drink</t>
  </si>
  <si>
    <t>P011</t>
  </si>
  <si>
    <t>Masafi Water 1.5L</t>
  </si>
  <si>
    <t>P012</t>
  </si>
  <si>
    <t>Lipton Ice Tea Lemon</t>
  </si>
  <si>
    <t>P013</t>
  </si>
  <si>
    <t>Al Ain Water 500ml</t>
  </si>
  <si>
    <t>P014</t>
  </si>
  <si>
    <t>Tropicana Orange Juice 1L</t>
  </si>
  <si>
    <t>P015</t>
  </si>
  <si>
    <t>Pringles Original</t>
  </si>
  <si>
    <t>Snacks</t>
  </si>
  <si>
    <t>P016</t>
  </si>
  <si>
    <t>Lays Chips Classic</t>
  </si>
  <si>
    <t>P017</t>
  </si>
  <si>
    <t>KitKat 4 Finger</t>
  </si>
  <si>
    <t>P018</t>
  </si>
  <si>
    <t>Snickers Bar</t>
  </si>
  <si>
    <t>P019</t>
  </si>
  <si>
    <t>Oreo Biscuits</t>
  </si>
  <si>
    <t>P020</t>
  </si>
  <si>
    <t>Nutella 350g</t>
  </si>
  <si>
    <t>P021</t>
  </si>
  <si>
    <t>Kinder Bueno</t>
  </si>
  <si>
    <t>P022</t>
  </si>
  <si>
    <t>Croissant Butter</t>
  </si>
  <si>
    <t>Bakery</t>
  </si>
  <si>
    <t>P023</t>
  </si>
  <si>
    <t>White Bread Loaf</t>
  </si>
  <si>
    <t>P024</t>
  </si>
  <si>
    <t>Brown Bread</t>
  </si>
  <si>
    <t>P025</t>
  </si>
  <si>
    <t>Muffin Chocolate</t>
  </si>
  <si>
    <t>P026</t>
  </si>
  <si>
    <t>Donut Sugar</t>
  </si>
  <si>
    <t>P027</t>
  </si>
  <si>
    <t>Baguette Bread</t>
  </si>
  <si>
    <t>P028</t>
  </si>
  <si>
    <t>Apple 1kg</t>
  </si>
  <si>
    <t>Produce</t>
  </si>
  <si>
    <t>P029</t>
  </si>
  <si>
    <t>Banana 1kg</t>
  </si>
  <si>
    <t>P030</t>
  </si>
  <si>
    <t>Orange 1kg</t>
  </si>
  <si>
    <t>P031</t>
  </si>
  <si>
    <t>Tomato 1kg</t>
  </si>
  <si>
    <t>P032</t>
  </si>
  <si>
    <t>Potato 2kg</t>
  </si>
  <si>
    <t>P033</t>
  </si>
  <si>
    <t>Onion 1kg</t>
  </si>
  <si>
    <t>P034</t>
  </si>
  <si>
    <t>Lettuce</t>
  </si>
  <si>
    <t>P035</t>
  </si>
  <si>
    <t>Frozen Chicken 1kg</t>
  </si>
  <si>
    <t>Frozen</t>
  </si>
  <si>
    <t>P036</t>
  </si>
  <si>
    <t>Frozen Fries 750g</t>
  </si>
  <si>
    <t>P037</t>
  </si>
  <si>
    <t>Frozen Pizza</t>
  </si>
  <si>
    <t>P038</t>
  </si>
  <si>
    <t>Frozen Mixed Vegetables</t>
  </si>
  <si>
    <t>P039</t>
  </si>
  <si>
    <t>Ice Cream Vanilla 1L</t>
  </si>
  <si>
    <t>P040</t>
  </si>
  <si>
    <t>Frozen Nuggets</t>
  </si>
  <si>
    <t>P041</t>
  </si>
  <si>
    <t>Fairy Dishwashing Liquid</t>
  </si>
  <si>
    <t>Household</t>
  </si>
  <si>
    <t>P042</t>
  </si>
  <si>
    <t>Dettol Antiseptic 500ml</t>
  </si>
  <si>
    <t>P043</t>
  </si>
  <si>
    <t>Kleenex Tissue Box</t>
  </si>
  <si>
    <t>P044</t>
  </si>
  <si>
    <t>Toilet Paper 10 Roll</t>
  </si>
  <si>
    <t>P045</t>
  </si>
  <si>
    <t>Ariel Washing Powder 2kg</t>
  </si>
  <si>
    <t>P046</t>
  </si>
  <si>
    <t>Harpic Toilet Cleaner</t>
  </si>
  <si>
    <t>P047</t>
  </si>
  <si>
    <t>Sponge Scrub Pack</t>
  </si>
  <si>
    <t>P048</t>
  </si>
  <si>
    <t>Toothpaste Colgate</t>
  </si>
  <si>
    <t>Personal Care</t>
  </si>
  <si>
    <t>P049</t>
  </si>
  <si>
    <t>Shampoo Head &amp; Shoulders</t>
  </si>
  <si>
    <t>P050</t>
  </si>
  <si>
    <t>Lux Soap Bar</t>
  </si>
  <si>
    <t>Sale_ID</t>
  </si>
  <si>
    <t>Date</t>
  </si>
  <si>
    <t>Quantity</t>
  </si>
  <si>
    <t>Unit_Price</t>
  </si>
  <si>
    <t>Total_Sales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</si>
  <si>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</si>
  <si>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</si>
  <si>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</si>
  <si>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</si>
  <si>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</si>
  <si>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</si>
  <si>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</si>
  <si>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</si>
  <si>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</si>
  <si>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</si>
  <si>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</si>
  <si>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</si>
  <si>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</si>
  <si>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</si>
  <si>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</si>
  <si>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</si>
  <si>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</si>
  <si>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</si>
  <si>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</si>
  <si>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</si>
  <si>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</si>
  <si>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</si>
  <si>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</si>
  <si>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</si>
  <si>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</si>
  <si>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</si>
  <si>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</si>
  <si>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</si>
  <si>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</si>
  <si>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</si>
  <si>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</si>
  <si>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</si>
  <si>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</si>
  <si>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</si>
  <si>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</si>
  <si>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</si>
  <si>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</si>
  <si>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</si>
  <si>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</si>
  <si>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</si>
  <si>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</si>
  <si>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</si>
  <si>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</si>
  <si>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</si>
  <si>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</si>
  <si>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</si>
  <si>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</si>
  <si>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</si>
  <si>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</si>
  <si>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</si>
  <si>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</si>
  <si>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</si>
  <si>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</si>
  <si>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</si>
  <si>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</si>
  <si>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</si>
  <si>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</si>
  <si>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</si>
  <si>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</si>
  <si>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</si>
  <si>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</si>
  <si>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</si>
  <si>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</si>
  <si>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</si>
  <si>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</si>
  <si>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</si>
  <si>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</si>
  <si>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</si>
  <si>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</si>
  <si>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</si>
  <si>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</si>
  <si>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</si>
  <si>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</si>
  <si>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</si>
  <si>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</si>
  <si>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</si>
  <si>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</si>
  <si>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</si>
  <si>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</si>
  <si>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</si>
  <si>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</si>
  <si>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</si>
  <si>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</si>
  <si>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</si>
  <si>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</si>
  <si>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</si>
  <si>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</si>
  <si>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</si>
  <si>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</si>
  <si>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</si>
  <si>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</si>
  <si>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</si>
  <si>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</si>
  <si>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</si>
  <si>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</si>
  <si>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</si>
  <si>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</si>
  <si>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</si>
  <si>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</si>
  <si>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</si>
  <si>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PO_ID</t>
  </si>
  <si>
    <t>Order_Date</t>
  </si>
  <si>
    <t>Quantity_Ordered</t>
  </si>
  <si>
    <t>LeadTime</t>
  </si>
  <si>
    <t>PO001</t>
  </si>
  <si>
    <t>PO002</t>
  </si>
  <si>
    <t>PO003</t>
  </si>
  <si>
    <t>PO004</t>
  </si>
  <si>
    <t>PO005</t>
  </si>
  <si>
    <t>PO006</t>
  </si>
  <si>
    <t>PO007</t>
  </si>
  <si>
    <t>PO008</t>
  </si>
  <si>
    <t>PO009</t>
  </si>
  <si>
    <t>PO010</t>
  </si>
  <si>
    <t>PO011</t>
  </si>
  <si>
    <t>PO012</t>
  </si>
  <si>
    <t>PO013</t>
  </si>
  <si>
    <t>PO014</t>
  </si>
  <si>
    <t>PO015</t>
  </si>
  <si>
    <t>PO016</t>
  </si>
  <si>
    <t>PO017</t>
  </si>
  <si>
    <t>PO018</t>
  </si>
  <si>
    <t>PO019</t>
  </si>
  <si>
    <t>PO020</t>
  </si>
  <si>
    <t>PO021</t>
  </si>
  <si>
    <t>PO022</t>
  </si>
  <si>
    <t>PO023</t>
  </si>
  <si>
    <t>PO024</t>
  </si>
  <si>
    <t>PO025</t>
  </si>
  <si>
    <t>PO026</t>
  </si>
  <si>
    <t>PO027</t>
  </si>
  <si>
    <t>PO028</t>
  </si>
  <si>
    <t>PO029</t>
  </si>
  <si>
    <t>PO030</t>
  </si>
  <si>
    <t>PO031</t>
  </si>
  <si>
    <t>PO032</t>
  </si>
  <si>
    <t>PO033</t>
  </si>
  <si>
    <t>PO034</t>
  </si>
  <si>
    <t>PO035</t>
  </si>
  <si>
    <t>PO036</t>
  </si>
  <si>
    <t>PO037</t>
  </si>
  <si>
    <t>PO038</t>
  </si>
  <si>
    <t>PO039</t>
  </si>
  <si>
    <t>PO040</t>
  </si>
  <si>
    <t>Opening_Stock</t>
  </si>
  <si>
    <t>Quantity_in</t>
  </si>
  <si>
    <t>Quantity_out</t>
  </si>
  <si>
    <t>Current Stock</t>
  </si>
  <si>
    <t>Total Revenue</t>
  </si>
  <si>
    <t>Total Units Sold</t>
  </si>
  <si>
    <t>Total_Purchase_Cos</t>
  </si>
  <si>
    <t>Total Purchased Units</t>
  </si>
  <si>
    <t>Total Stock In</t>
  </si>
  <si>
    <t>Total Stock Out</t>
  </si>
  <si>
    <t>Average Daily Demand</t>
  </si>
  <si>
    <t>Std Dev</t>
  </si>
  <si>
    <t>Lead Time</t>
  </si>
  <si>
    <t>Safety Stock</t>
  </si>
  <si>
    <t>ROP</t>
  </si>
  <si>
    <t>Avg Weekly Demand</t>
  </si>
  <si>
    <t>Week</t>
  </si>
  <si>
    <t>Grand Total</t>
  </si>
  <si>
    <t>Weekly Demand</t>
  </si>
  <si>
    <t>Average of Weekly Demand</t>
  </si>
  <si>
    <t>Total Purchases Coast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</si>
</sst>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1"/>
      <color rgb="FFFFFFFF"/>
      <name val="Calibri"/>
      <family val="2"/>
      <scheme val="minor"/>
    </font>
    <font>
      <b/>
      <sz val="11"/>
      <color rgb="FFFFFFFF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70AD4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D08E"/>
      </left>
      <right/>
      <top/>
      <bottom style="thin">
        <color rgb="FFA9D08E"/>
      </bottom>
      <diagonal/>
    </border>
    <border>
      <left/>
      <right/>
      <top/>
      <bottom style="thin">
        <color rgb="FFA9D08E"/>
      </bottom>
      <diagonal/>
    </border>
    <border>
      <left/>
      <right style="thin">
        <color rgb="FFA9D08E"/>
      </right>
      <top/>
      <bottom style="thin">
        <color rgb="FFA9D08E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/>
    <xf numFmtId="0" fontId="0" fillId="0" borderId="0" xfId="0" applyAlignment="1"/>
    <xf numFmtId="0" fontId="0" fillId="0" borderId="0" xfId="0" quotePrefix="1" applyNumberFormat="1" applyAlignment="1"/>
    <xf numFmtId="0" fontId="0" fillId="0" borderId="0" xfId="0" applyNumberFormat="1" applyAlignment="1"/>
    <xf numFmtId="0" fontId="1" fillId="3" borderId="1" xfId="0" applyFont="1" applyFill="1" applyBorder="1" applyAlignment="1">
      <alignment horizontal="left"/>
    </xf>
    <xf numFmtId="0" fontId="0" fillId="4" borderId="2" xfId="0" applyFill="1" applyBorder="1"/>
    <xf numFmtId="0" fontId="0" fillId="4" borderId="1" xfId="0" applyFill="1" applyBorder="1"/>
    <xf numFmtId="0" fontId="1" fillId="3" borderId="2" xfId="0" applyFont="1" applyFill="1" applyBorder="1" applyAlignment="1">
      <alignment horizontal="left"/>
    </xf>
    <xf numFmtId="0" fontId="0" fillId="0" borderId="3" xfId="0" applyBorder="1"/>
    <xf numFmtId="0" fontId="1" fillId="5" borderId="3" xfId="0" applyFont="1" applyFill="1" applyBorder="1" applyAlignment="1">
      <alignment horizontal="left"/>
    </xf>
    <xf numFmtId="43" fontId="0" fillId="4" borderId="2" xfId="1" applyFont="1" applyFill="1" applyBorder="1"/>
    <xf numFmtId="2" fontId="0" fillId="4" borderId="1" xfId="0" applyNumberFormat="1" applyFill="1" applyBorder="1"/>
    <xf numFmtId="0" fontId="4" fillId="2" borderId="4" xfId="0" applyNumberFormat="1" applyFont="1" applyFill="1" applyBorder="1" applyAlignment="1">
      <alignment horizontal="center"/>
    </xf>
    <xf numFmtId="0" fontId="4" fillId="2" borderId="5" xfId="0" applyNumberFormat="1" applyFont="1" applyFill="1" applyBorder="1" applyAlignment="1">
      <alignment horizontal="center"/>
    </xf>
    <xf numFmtId="0" fontId="4" fillId="2" borderId="6" xfId="0" quotePrefix="1" applyNumberFormat="1" applyFont="1" applyFill="1" applyBorder="1" applyAlignment="1">
      <alignment horizontal="center"/>
    </xf>
    <xf numFmtId="0" fontId="5" fillId="2" borderId="5" xfId="0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pivotButton="1" applyAlignment="1"/>
    <xf numFmtId="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81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top style="thin">
          <color rgb="FFA9D08E"/>
        </top>
      </border>
    </dxf>
    <dxf>
      <numFmt numFmtId="0" formatCode="General"/>
      <alignment horizontal="center" vertical="bottom" textRotation="0" wrapText="0" indent="0" justifyLastLine="0" shrinkToFit="0" readingOrder="0"/>
    </dxf>
    <dxf>
      <border outline="0">
        <bottom style="thin">
          <color rgb="FFA9D08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numFmt numFmtId="0" formatCode="General"/>
      <fill>
        <patternFill patternType="solid">
          <fgColor indexed="64"/>
          <bgColor rgb="FF70AD47"/>
        </patternFill>
      </fill>
      <alignment horizontal="center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64" formatCode="0.0"/>
    </dxf>
    <dxf>
      <numFmt numFmtId="164" formatCode="0.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19" formatCode="m/d/yyyy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numFmt numFmtId="0" formatCode="General"/>
      <alignment horizontal="general" vertical="bottom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9" formatCode="m/d/yyyy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80"/>
      <tableStyleElement type="headerRow" dxfId="79"/>
      <tableStyleElement type="firstRowStripe" dxfId="78"/>
    </tableStyle>
    <tableStyle name="TableStyleQueryResult" pivot="0" count="3">
      <tableStyleElement type="wholeTable" dxfId="77"/>
      <tableStyleElement type="headerRow" dxfId="76"/>
      <tableStyleElement type="firstRowStripe" dxfId="7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PC" refreshedDate="46094.562364814818" backgroundQuery="1" createdVersion="5" refreshedVersion="5" minRefreshableVersion="3" recordCount="0" supportSubquery="1" supportAdvancedDrill="1">
  <cacheSource type="external" connectionId="5"/>
  <cacheFields count="3">
    <cacheField name="[Sales1].[Product_ID].[Product_ID]" caption="Product_ID" numFmtId="0" hierarchy="22" level="1">
      <sharedItems count="15">
        <s v="P001"/>
        <s v="P008"/>
        <s v="P015"/>
        <s v="P016"/>
        <s v="P017"/>
        <s v="P020"/>
        <s v="P021"/>
        <s v="P023"/>
        <s v="P028"/>
        <s v="P029"/>
        <s v="P032"/>
        <s v="P035"/>
        <s v="P037"/>
        <s v="P041"/>
        <s v="P043"/>
      </sharedItems>
    </cacheField>
    <cacheField name="[Sales1].[Week].[Week]" caption="Week" numFmtId="0" hierarchy="21" level="1">
      <sharedItems containsSemiMixedTypes="0" containsString="0" containsNumber="1" containsInteger="1" minValue="1" maxValue="53" count="50">
        <n v="2"/>
        <n v="10"/>
        <n v="17"/>
        <n v="28"/>
        <n v="33"/>
        <n v="39"/>
        <n v="43"/>
        <n v="48"/>
        <n v="52"/>
        <n v="53"/>
        <n v="6"/>
        <n v="12"/>
        <n v="19"/>
        <n v="25"/>
        <n v="30"/>
        <n v="34"/>
        <n v="3"/>
        <n v="14"/>
        <n v="23"/>
        <n v="37"/>
        <n v="41"/>
        <n v="46"/>
        <n v="50"/>
        <n v="16"/>
        <n v="24"/>
        <n v="27"/>
        <n v="32"/>
        <n v="36"/>
        <n v="45"/>
        <n v="49"/>
        <n v="7"/>
        <n v="18"/>
        <n v="31"/>
        <n v="38"/>
        <n v="51"/>
        <n v="4"/>
        <n v="20"/>
        <n v="29"/>
        <n v="35"/>
        <n v="40"/>
        <n v="44"/>
        <n v="26"/>
        <n v="42"/>
        <n v="47"/>
        <n v="1"/>
        <n v="11"/>
        <n v="15"/>
        <n v="9"/>
        <n v="8"/>
        <n v="21"/>
      </sharedItems>
      <extLst>
        <ext xmlns:x15="http://schemas.microsoft.com/office/spreadsheetml/2010/11/main" uri="{4F2E5C28-24EA-4eb8-9CBF-B6C8F9C3D259}">
          <x15:cachedUniqueNames>
            <x15:cachedUniqueName index="0" name="[Sales1].[Week].&amp;[2]"/>
            <x15:cachedUniqueName index="1" name="[Sales1].[Week].&amp;[10]"/>
            <x15:cachedUniqueName index="2" name="[Sales1].[Week].&amp;[17]"/>
            <x15:cachedUniqueName index="3" name="[Sales1].[Week].&amp;[28]"/>
            <x15:cachedUniqueName index="4" name="[Sales1].[Week].&amp;[33]"/>
            <x15:cachedUniqueName index="5" name="[Sales1].[Week].&amp;[39]"/>
            <x15:cachedUniqueName index="6" name="[Sales1].[Week].&amp;[43]"/>
            <x15:cachedUniqueName index="7" name="[Sales1].[Week].&amp;[48]"/>
            <x15:cachedUniqueName index="8" name="[Sales1].[Week].&amp;[52]"/>
            <x15:cachedUniqueName index="9" name="[Sales1].[Week].&amp;[53]"/>
            <x15:cachedUniqueName index="10" name="[Sales1].[Week].&amp;[6]"/>
            <x15:cachedUniqueName index="11" name="[Sales1].[Week].&amp;[12]"/>
            <x15:cachedUniqueName index="12" name="[Sales1].[Week].&amp;[19]"/>
            <x15:cachedUniqueName index="13" name="[Sales1].[Week].&amp;[25]"/>
            <x15:cachedUniqueName index="14" name="[Sales1].[Week].&amp;[30]"/>
            <x15:cachedUniqueName index="15" name="[Sales1].[Week].&amp;[34]"/>
            <x15:cachedUniqueName index="16" name="[Sales1].[Week].&amp;[3]"/>
            <x15:cachedUniqueName index="17" name="[Sales1].[Week].&amp;[14]"/>
            <x15:cachedUniqueName index="18" name="[Sales1].[Week].&amp;[23]"/>
            <x15:cachedUniqueName index="19" name="[Sales1].[Week].&amp;[37]"/>
            <x15:cachedUniqueName index="20" name="[Sales1].[Week].&amp;[41]"/>
            <x15:cachedUniqueName index="21" name="[Sales1].[Week].&amp;[46]"/>
            <x15:cachedUniqueName index="22" name="[Sales1].[Week].&amp;[50]"/>
            <x15:cachedUniqueName index="23" name="[Sales1].[Week].&amp;[16]"/>
            <x15:cachedUniqueName index="24" name="[Sales1].[Week].&amp;[24]"/>
            <x15:cachedUniqueName index="25" name="[Sales1].[Week].&amp;[27]"/>
            <x15:cachedUniqueName index="26" name="[Sales1].[Week].&amp;[32]"/>
            <x15:cachedUniqueName index="27" name="[Sales1].[Week].&amp;[36]"/>
            <x15:cachedUniqueName index="28" name="[Sales1].[Week].&amp;[45]"/>
            <x15:cachedUniqueName index="29" name="[Sales1].[Week].&amp;[49]"/>
            <x15:cachedUniqueName index="30" name="[Sales1].[Week].&amp;[7]"/>
            <x15:cachedUniqueName index="31" name="[Sales1].[Week].&amp;[18]"/>
            <x15:cachedUniqueName index="32" name="[Sales1].[Week].&amp;[31]"/>
            <x15:cachedUniqueName index="33" name="[Sales1].[Week].&amp;[38]"/>
            <x15:cachedUniqueName index="34" name="[Sales1].[Week].&amp;[51]"/>
            <x15:cachedUniqueName index="35" name="[Sales1].[Week].&amp;[4]"/>
            <x15:cachedUniqueName index="36" name="[Sales1].[Week].&amp;[20]"/>
            <x15:cachedUniqueName index="37" name="[Sales1].[Week].&amp;[29]"/>
            <x15:cachedUniqueName index="38" name="[Sales1].[Week].&amp;[35]"/>
            <x15:cachedUniqueName index="39" name="[Sales1].[Week].&amp;[40]"/>
            <x15:cachedUniqueName index="40" name="[Sales1].[Week].&amp;[44]"/>
            <x15:cachedUniqueName index="41" name="[Sales1].[Week].&amp;[26]"/>
            <x15:cachedUniqueName index="42" name="[Sales1].[Week].&amp;[42]"/>
            <x15:cachedUniqueName index="43" name="[Sales1].[Week].&amp;[47]"/>
            <x15:cachedUniqueName index="44" name="[Sales1].[Week].&amp;[1]"/>
            <x15:cachedUniqueName index="45" name="[Sales1].[Week].&amp;[11]"/>
            <x15:cachedUniqueName index="46" name="[Sales1].[Week].&amp;[15]"/>
            <x15:cachedUniqueName index="47" name="[Sales1].[Week].&amp;[9]"/>
            <x15:cachedUniqueName index="48" name="[Sales1].[Week].&amp;[8]"/>
            <x15:cachedUniqueName index="49" name="[Sales1].[Week].&amp;[21]"/>
          </x15:cachedUniqueNames>
        </ext>
      </extLst>
    </cacheField>
    <cacheField name="[Measures].[Sum of Quantity]" caption="Sum of Quantity" numFmtId="0" hierarchy="27" level="32767"/>
  </cacheFields>
  <cacheHierarchies count="36">
    <cacheHierarchy uniqueName="[Opening].[Product_ID]" caption="Product_ID" attribute="1" defaultMemberUniqueName="[Opening].[Product_ID].[All]" allUniqueName="[Opening].[Product_ID].[All]" dimensionUniqueName="[Opening]" displayFolder="" count="0" memberValueDatatype="130" unbalanced="0"/>
    <cacheHierarchy uniqueName="[Opening].[Opening_Stock]" caption="Opening_Stock" attribute="1" defaultMemberUniqueName="[Opening].[Opening_Stock].[All]" allUniqueName="[Opening].[Opening_Stock].[All]" dimensionUniqueName="[Opening]" displayFolder="" count="0" memberValueDatatype="20" unbalanced="0"/>
    <cacheHierarchy uniqueName="[Products].[Product_ID]" caption="Product_ID" attribute="1" defaultMemberUniqueName="[Products].[Product_ID].[All]" allUniqueName="[Products].[Product_ID].[All]" dimensionUniqueName="[Products]" displayFolder="" count="0" memberValueDatatype="130" unbalanced="0"/>
    <cacheHierarchy uniqueName="[Products].[Product_Name]" caption="Product_Name" attribute="1" defaultMemberUniqueName="[Products].[Product_Name].[All]" allUniqueName="[Products].[Product_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Cost_Price]" caption="Cost_Price" attribute="1" defaultMemberUniqueName="[Products].[Cost_Price].[All]" allUniqueName="[Products].[Cost_Price].[All]" dimensionUniqueName="[Products]" displayFolder="" count="0" memberValueDatatype="5" unbalanced="0"/>
    <cacheHierarchy uniqueName="[Products].[Selling_Price]" caption="Selling_Price" attribute="1" defaultMemberUniqueName="[Products].[Selling_Price].[All]" allUniqueName="[Products].[Selling_Price].[All]" dimensionUniqueName="[Products]" displayFolder="" count="0" memberValueDatatype="5" unbalanced="0"/>
    <cacheHierarchy uniqueName="[Purchase].[PO_ID]" caption="PO_ID" attribute="1" defaultMemberUniqueName="[Purchase].[PO_ID].[All]" allUniqueName="[Purchase].[PO_ID].[All]" dimensionUniqueName="[Purchase]" displayFolder="" count="0" memberValueDatatype="130" unbalanced="0"/>
    <cacheHierarchy uniqueName="[Purchase].[Order_Date]" caption="Order_Date" attribute="1" time="1" defaultMemberUniqueName="[Purchase].[Order_Date].[All]" allUniqueName="[Purchase].[Order_Date].[All]" dimensionUniqueName="[Purchase]" displayFolder="" count="0" memberValueDatatype="7" unbalanced="0"/>
    <cacheHierarchy uniqueName="[Purchase].[Product_ID]" caption="Product_ID" attribute="1" defaultMemberUniqueName="[Purchase].[Product_ID].[All]" allUniqueName="[Purchase].[Product_ID].[All]" dimensionUniqueName="[Purchase]" displayFolder="" count="0" memberValueDatatype="130" unbalanced="0"/>
    <cacheHierarchy uniqueName="[Purchase].[Quantity_Ordered]" caption="Quantity_Ordered" attribute="1" defaultMemberUniqueName="[Purchase].[Quantity_Ordered].[All]" allUniqueName="[Purchase].[Quantity_Ordered].[All]" dimensionUniqueName="[Purchase]" displayFolder="" count="0" memberValueDatatype="20" unbalanced="0"/>
    <cacheHierarchy uniqueName="[Purchase].[Cost_Price]" caption="Cost_Price" attribute="1" defaultMemberUniqueName="[Purchase].[Cost_Price].[All]" allUniqueName="[Purchase].[Cost_Price].[All]" dimensionUniqueName="[Purchase]" displayFolder="" count="0" memberValueDatatype="5" unbalanced="0"/>
    <cacheHierarchy uniqueName="[Purchase].[LeadTime]" caption="LeadTime" attribute="1" defaultMemberUniqueName="[Purchase].[LeadTime].[All]" allUniqueName="[Purchase].[LeadTime].[All]" dimensionUniqueName="[Purchase]" displayFolder="" count="0" memberValueDatatype="20" unbalanced="0"/>
    <cacheHierarchy uniqueName="[Sales].[Sale_ID]" caption="Sale_ID" attribute="1" defaultMemberUniqueName="[Sales].[Sale_ID].[All]" allUniqueName="[Sales].[Sale_ID].[All]" dimensionUniqueName="[Sales]" displayFolder="" count="0" memberValueDatatype="130" unbalanced="0"/>
    <cacheHierarchy uniqueName="[Sales].[Date]" caption="Date" attribute="1" time="1" defaultMemberUniqueName="[Sales].[Date].[All]" allUniqueName="[Sales].[Date].[All]" dimensionUniqueName="[Sales]" displayFolder="" count="0" memberValueDatatype="7" unbalanced="0"/>
    <cacheHierarchy uniqueName="[Sales].[Product_ID]" caption="Product_ID" attribute="1" defaultMemberUniqueName="[Sales].[Product_ID].[All]" allUniqueName="[Sales].[Product_ID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_Price]" caption="Unit_Price" attribute="1" defaultMemberUniqueName="[Sales].[Unit_Price].[All]" allUniqueName="[Sales].[Unit_Price].[All]" dimensionUniqueName="[Sales]" displayFolder="" count="0" memberValueDatatype="5" unbalanced="0"/>
    <cacheHierarchy uniqueName="[Sales].[Total_Sales]" caption="Total_Sales" attribute="1" defaultMemberUniqueName="[Sales].[Total_Sales].[All]" allUniqueName="[Sales].[Total_Sales].[All]" dimensionUniqueName="[Sales]" displayFolder="" count="0" memberValueDatatype="5" unbalanced="0"/>
    <cacheHierarchy uniqueName="[Sales1].[Sale_ID]" caption="Sale_ID" attribute="1" defaultMemberUniqueName="[Sales1].[Sale_ID].[All]" allUniqueName="[Sales1].[Sale_ID].[All]" dimensionUniqueName="[Sales1]" displayFolder="" count="0" memberValueDatatype="130" unbalanced="0"/>
    <cacheHierarchy uniqueName="[Sales1].[Date]" caption="Date" attribute="1" time="1" defaultMemberUniqueName="[Sales1].[Date].[All]" allUniqueName="[Sales1].[Date].[All]" dimensionUniqueName="[Sales1]" displayFolder="" count="0" memberValueDatatype="7" unbalanced="0"/>
    <cacheHierarchy uniqueName="[Sales1].[Week]" caption="Week" attribute="1" defaultMemberUniqueName="[Sales1].[Week].[All]" allUniqueName="[Sales1].[Week].[All]" dimensionUniqueName="[Sales1]" displayFolder="" count="2" memberValueDatatype="20" unbalanced="0">
      <fieldsUsage count="2">
        <fieldUsage x="-1"/>
        <fieldUsage x="1"/>
      </fieldsUsage>
    </cacheHierarchy>
    <cacheHierarchy uniqueName="[Sales1].[Product_ID]" caption="Product_ID" attribute="1" defaultMemberUniqueName="[Sales1].[Product_ID].[All]" allUniqueName="[Sales1].[Product_ID].[All]" dimensionUniqueName="[Sales1]" displayFolder="" count="2" memberValueDatatype="130" unbalanced="0">
      <fieldsUsage count="2">
        <fieldUsage x="-1"/>
        <fieldUsage x="0"/>
      </fieldsUsage>
    </cacheHierarchy>
    <cacheHierarchy uniqueName="[Sales1].[Quantity]" caption="Quantity" attribute="1" defaultMemberUniqueName="[Sales1].[Quantity].[All]" allUniqueName="[Sales1].[Quantity].[All]" dimensionUniqueName="[Sales1]" displayFolder="" count="0" memberValueDatatype="20" unbalanced="0"/>
    <cacheHierarchy uniqueName="[Sales1].[Unit_Price]" caption="Unit_Price" attribute="1" defaultMemberUniqueName="[Sales1].[Unit_Price].[All]" allUniqueName="[Sales1].[Unit_Price].[All]" dimensionUniqueName="[Sales1]" displayFolder="" count="0" memberValueDatatype="5" unbalanced="0"/>
    <cacheHierarchy uniqueName="[Sales1].[Total_Sales]" caption="Total_Sales" attribute="1" defaultMemberUniqueName="[Sales1].[Total_Sales].[All]" allUniqueName="[Sales1].[Total_Sales].[All]" dimensionUniqueName="[Sales1]" displayFolder="" count="0" memberValueDatatype="5" unbalanced="0"/>
    <cacheHierarchy uniqueName="[Measures].[Sum of Week]" caption="Sum of Week" measure="1" displayFolder="" measureGroup="Sales1" count="0">
      <extLst>
        <ext xmlns:x15="http://schemas.microsoft.com/office/spreadsheetml/2010/11/main" uri="{B97F6D7D-B522-45F9-BDA1-12C45D357490}">
          <x15:cacheHierarchy aggregatedColumn="21"/>
        </ext>
      </extLst>
    </cacheHierarchy>
    <cacheHierarchy uniqueName="[Measures].[Sum of Quantity]" caption="Sum of Quantity" measure="1" displayFolder="" measureGroup="Sales1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Count of Product_ID]" caption="Count of Product_ID" measure="1" displayFolder="" measureGroup="Sales1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tdDev of Quantity]" caption="StdDev of Quantity" measure="1" displayFolder="" measureGroup="Sales1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__XL_Count Products]" caption="__XL_Count Products" measure="1" displayFolder="" measureGroup="Products" count="0" hidden="1"/>
    <cacheHierarchy uniqueName="[Measures].[__XL_Count Purchase]" caption="__XL_Count Purchase" measure="1" displayFolder="" measureGroup="Purchase" count="0" hidden="1"/>
    <cacheHierarchy uniqueName="[Measures].[__XL_Count Sales]" caption="__XL_Count Sales" measure="1" displayFolder="" measureGroup="Sales" count="0" hidden="1"/>
    <cacheHierarchy uniqueName="[Measures].[__XL_Count Opening]" caption="__XL_Count Opening" measure="1" displayFolder="" measureGroup="Opening" count="0" hidden="1"/>
    <cacheHierarchy uniqueName="[Measures].[__XL_Count Sales1]" caption="__XL_Count Sales1" measure="1" displayFolder="" measureGroup="Sales1" count="0" hidden="1"/>
    <cacheHierarchy uniqueName="[Measures].[__XL_Count of Models]" caption="__XL_Count of Models" measure="1" displayFolder="" count="0" hidden="1"/>
  </cacheHierarchies>
  <kpis count="0"/>
  <dimensions count="6">
    <dimension measure="1" name="Measures" uniqueName="[Measures]" caption="Measures"/>
    <dimension name="Opening" uniqueName="[Opening]" caption="Opening"/>
    <dimension name="Products" uniqueName="[Products]" caption="Products"/>
    <dimension name="Purchase" uniqueName="[Purchase]" caption="Purchase"/>
    <dimension name="Sales" uniqueName="[Sales]" caption="Sales"/>
    <dimension name="Sales1" uniqueName="[Sales1]" caption="Sales1"/>
  </dimensions>
  <measureGroups count="5">
    <measureGroup name="Opening" caption="Opening"/>
    <measureGroup name="Products" caption="Products"/>
    <measureGroup name="Purchase" caption="Purchase"/>
    <measureGroup name="Sales" caption="Sales"/>
    <measureGroup name="Sales1" caption="Sales1"/>
  </measureGroups>
  <maps count="8">
    <map measureGroup="0" dimension="1"/>
    <map measureGroup="0" dimension="2"/>
    <map measureGroup="1" dimension="2"/>
    <map measureGroup="2" dimension="2"/>
    <map measureGroup="2" dimension="3"/>
    <map measureGroup="3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subtotalHiddenItems="1" itemPrintTitles="1" createdVersion="5" indent="0" compact="0" compactData="0" multipleFieldFilters="0" rowHeaderCaption="Week_id">
  <location ref="I7:K108" firstHeaderRow="1" firstDataRow="1" firstDataCol="2"/>
  <pivotFields count="3">
    <pivotField axis="axisRow" compact="0" allDrilled="1" outline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howAll="0" dataSourceSort="1" defaultSubtotal="0" defaultAttributeDrillState="1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0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  <x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5"/>
    </i>
    <i r="1">
      <x v="6"/>
    </i>
    <i r="1">
      <x v="7"/>
    </i>
    <i r="1">
      <x v="8"/>
    </i>
    <i r="1">
      <x v="9"/>
    </i>
    <i>
      <x v="2"/>
      <x v="16"/>
    </i>
    <i r="1">
      <x v="1"/>
    </i>
    <i r="1">
      <x v="17"/>
    </i>
    <i r="1">
      <x v="18"/>
    </i>
    <i r="1">
      <x v="3"/>
    </i>
    <i r="1">
      <x v="4"/>
    </i>
    <i r="1">
      <x v="19"/>
    </i>
    <i r="1">
      <x v="20"/>
    </i>
    <i r="1">
      <x v="21"/>
    </i>
    <i r="1">
      <x v="22"/>
    </i>
    <i r="1">
      <x v="8"/>
    </i>
    <i>
      <x v="3"/>
      <x/>
    </i>
    <i r="1">
      <x v="10"/>
    </i>
    <i r="1">
      <x v="11"/>
    </i>
    <i r="1">
      <x v="23"/>
    </i>
    <i r="1">
      <x v="24"/>
    </i>
    <i r="1">
      <x v="25"/>
    </i>
    <i r="1">
      <x v="26"/>
    </i>
    <i r="1">
      <x v="27"/>
    </i>
    <i r="1">
      <x v="20"/>
    </i>
    <i r="1">
      <x v="28"/>
    </i>
    <i r="1">
      <x v="29"/>
    </i>
    <i r="1">
      <x v="8"/>
    </i>
    <i>
      <x v="4"/>
      <x v="30"/>
    </i>
    <i>
      <x v="5"/>
      <x/>
    </i>
    <i r="1">
      <x v="1"/>
    </i>
    <i r="1">
      <x v="31"/>
    </i>
    <i r="1">
      <x v="32"/>
    </i>
    <i r="1">
      <x v="33"/>
    </i>
    <i r="1">
      <x v="21"/>
    </i>
    <i r="1">
      <x v="34"/>
    </i>
    <i r="1">
      <x v="9"/>
    </i>
    <i>
      <x v="6"/>
      <x v="35"/>
    </i>
    <i r="1">
      <x v="36"/>
    </i>
    <i r="1">
      <x v="37"/>
    </i>
    <i r="1">
      <x v="38"/>
    </i>
    <i r="1">
      <x v="39"/>
    </i>
    <i r="1">
      <x v="40"/>
    </i>
    <i r="1">
      <x v="22"/>
    </i>
    <i r="1">
      <x v="9"/>
    </i>
    <i>
      <x v="7"/>
      <x v="30"/>
    </i>
    <i r="1">
      <x v="12"/>
    </i>
    <i>
      <x v="8"/>
      <x v="35"/>
    </i>
    <i r="1">
      <x v="17"/>
    </i>
    <i r="1">
      <x v="41"/>
    </i>
    <i r="1">
      <x v="4"/>
    </i>
    <i r="1">
      <x v="33"/>
    </i>
    <i r="1">
      <x v="42"/>
    </i>
    <i r="1">
      <x v="43"/>
    </i>
    <i r="1">
      <x v="34"/>
    </i>
    <i r="1">
      <x v="9"/>
    </i>
    <i>
      <x v="9"/>
      <x v="44"/>
    </i>
    <i r="1">
      <x v="10"/>
    </i>
    <i r="1">
      <x v="45"/>
    </i>
    <i r="1">
      <x v="46"/>
    </i>
    <i r="1">
      <x v="24"/>
    </i>
    <i r="1">
      <x v="25"/>
    </i>
    <i r="1">
      <x v="32"/>
    </i>
    <i r="1">
      <x v="27"/>
    </i>
    <i r="1">
      <x v="39"/>
    </i>
    <i r="1">
      <x v="28"/>
    </i>
    <i r="1">
      <x v="29"/>
    </i>
    <i r="1">
      <x v="8"/>
    </i>
    <i>
      <x v="10"/>
      <x v="47"/>
    </i>
    <i>
      <x v="11"/>
      <x v="16"/>
    </i>
    <i r="1">
      <x v="11"/>
    </i>
    <i r="1">
      <x v="13"/>
    </i>
    <i r="1">
      <x v="37"/>
    </i>
    <i r="1">
      <x v="15"/>
    </i>
    <i r="1">
      <x v="42"/>
    </i>
    <i r="1">
      <x v="43"/>
    </i>
    <i r="1">
      <x v="34"/>
    </i>
    <i r="1">
      <x v="9"/>
    </i>
    <i>
      <x v="12"/>
      <x v="48"/>
    </i>
    <i r="1">
      <x v="49"/>
    </i>
    <i>
      <x v="13"/>
      <x v="16"/>
    </i>
    <i r="1">
      <x v="46"/>
    </i>
    <i>
      <x v="14"/>
      <x v="48"/>
    </i>
    <i t="grand">
      <x/>
    </i>
  </rowItems>
  <colItems count="1">
    <i/>
  </colItems>
  <dataFields count="1">
    <dataField name="Weekly Demand" fld="2" baseField="0" baseItem="0"/>
  </dataFields>
  <formats count="8">
    <format dxfId="27">
      <pivotArea type="all" dataOnly="0" outline="0" fieldPosition="0"/>
    </format>
    <format dxfId="26">
      <pivotArea outline="0" collapsedLevelsAreSubtotals="1" fieldPosition="0"/>
    </format>
    <format dxfId="25">
      <pivotArea dataOnly="0" labelOnly="1" outline="0" axis="axisValues" fieldPosition="0"/>
    </format>
    <format dxfId="24">
      <pivotArea dataOnly="0" labelOnly="1" outline="0" fieldPosition="0">
        <references count="1">
          <reference field="0" count="0"/>
        </references>
      </pivotArea>
    </format>
    <format dxfId="23">
      <pivotArea dataOnly="0" labelOnly="1" outline="0" fieldPosition="0">
        <references count="1">
          <reference field="0" count="0" defaultSubtotal="1"/>
        </references>
      </pivotArea>
    </format>
    <format dxfId="22">
      <pivotArea dataOnly="0" labelOnly="1" grandRow="1" outline="0" fieldPosition="0"/>
    </format>
    <format dxfId="21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20">
      <pivotArea outline="0" collapsedLevelsAreSubtotals="1" fieldPosition="0">
        <references count="1">
          <reference field="0" count="14" selected="0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</reference>
        </references>
      </pivotArea>
    </format>
  </formats>
  <pivotHierarchies count="3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Weekly Demand"/>
    <pivotHierarchy dragToData="1"/>
    <pivotHierarchy dragToData="1" caption="Demand Variability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1" showColStripes="0" showLastColumn="1"/>
  <rowHierarchiesUsage count="2">
    <rowHierarchyUsage hierarchyUsage="22"/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 sourceDataName="WorksheetConnection_Book1.xlsx!Sales">
        <x15:activeTabTopLevelEntity name="[Sales1]"/>
      </x15:pivotTableUISettings>
    </ext>
  </extLst>
</pivotTableDefinition>
</file>

<file path=xl/queryTables/queryTable1.xml><?xml version="1.0" encoding="utf-8"?>
<queryTable xmlns="http://schemas.openxmlformats.org/spreadsheetml/2006/main" name="ExternalData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PO_ID" tableColumnId="26"/>
      <queryTableField id="2" name="Order_Date" tableColumnId="27"/>
      <queryTableField id="3" name="Product_ID" tableColumnId="28"/>
      <queryTableField id="4" name="Quantity_Ordered" tableColumnId="29"/>
      <queryTableField id="5" name="Cost_Price" tableColumnId="30"/>
      <queryTableField id="6" name="LeadTime" tableColumnId="31"/>
      <queryTableField id="7" name="Total_Purchase_Cos" tableColumnId="32"/>
    </queryTableFields>
  </queryTableRefresh>
</queryTable>
</file>

<file path=xl/queryTables/queryTable2.xml><?xml version="1.0" encoding="utf-8"?>
<queryTable xmlns="http://schemas.openxmlformats.org/spreadsheetml/2006/main" name="ExternalData_1" connectionId="2" autoFormatId="0" applyNumberFormats="0" applyBorderFormats="0" applyFontFormats="1" applyPatternFormats="1" applyAlignmentFormats="0" applyWidthHeightFormats="0">
  <queryTableRefresh preserveSortFilterLayout="0" nextId="3">
    <queryTableFields count="2">
      <queryTableField id="1" name="Product_ID" tableColumnId="6"/>
      <queryTableField id="2" name="Opening_Stock" tableColumnId="7"/>
    </queryTableFields>
  </queryTableRefresh>
</queryTable>
</file>

<file path=xl/queryTables/queryTable3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6">
    <queryTableFields count="5">
      <queryTableField id="1" name="Product_ID" tableColumnId="15"/>
      <queryTableField id="2" name="Opening_Stock" tableColumnId="16"/>
      <queryTableField id="3" name="Quantity_in" tableColumnId="17"/>
      <queryTableField id="4" name="Quantity_out" tableColumnId="18"/>
      <queryTableField id="5" name="Current Stock" tableColumnId="19"/>
    </queryTableFields>
  </queryTableRefresh>
</queryTable>
</file>

<file path=xl/queryTables/queryTable4.xml><?xml version="1.0" encoding="utf-8"?>
<queryTable xmlns="http://schemas.openxmlformats.org/spreadsheetml/2006/main" name="ExternalData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Sale_ID" tableColumnId="26"/>
      <queryTableField id="2" name="Date" tableColumnId="27"/>
      <queryTableField id="3" name="Week" tableColumnId="28"/>
      <queryTableField id="4" name="Product_ID" tableColumnId="29"/>
      <queryTableField id="5" name="Quantity" tableColumnId="30"/>
      <queryTableField id="6" name="Unit_Price" tableColumnId="31"/>
      <queryTableField id="7" name="Total_Sales" tableColumnId="32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id="1" name="Products" displayName="Products" ref="A1:E51" totalsRowShown="0" headerRowDxfId="74" dataDxfId="73">
  <autoFilter ref="A1:E51"/>
  <tableColumns count="5">
    <tableColumn id="1" name="Product_ID" dataDxfId="72"/>
    <tableColumn id="2" name="Product_Name" dataDxfId="71"/>
    <tableColumn id="3" name="Category" dataDxfId="70"/>
    <tableColumn id="4" name="Cost_Price" dataDxfId="69"/>
    <tableColumn id="5" name="Selling_Price" dataDxfId="6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4" name="Open" displayName="Open" ref="A1:B51" totalsRowShown="0" headerRowDxfId="67" dataDxfId="66">
  <autoFilter ref="A1:B51"/>
  <tableColumns count="2">
    <tableColumn id="1" name="Product_ID" dataDxfId="65"/>
    <tableColumn id="2" name="Opening_Stock" dataDxfId="6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Sale" displayName="Sale" ref="G1:L101" totalsRowShown="0" headerRowDxfId="63" dataDxfId="62">
  <autoFilter ref="G1:L101"/>
  <tableColumns count="6">
    <tableColumn id="1" name="Sale_ID" dataDxfId="61"/>
    <tableColumn id="2" name="Date" dataDxfId="60"/>
    <tableColumn id="3" name="Product_ID" dataDxfId="59"/>
    <tableColumn id="4" name="Quantity" dataDxfId="58"/>
    <tableColumn id="5" name="Unit_Price" dataDxfId="57"/>
    <tableColumn id="6" name="Total_Sales" dataDxfId="5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3" name="Purch" displayName="Purch" ref="A56:F96" totalsRowShown="0" headerRowDxfId="55" dataDxfId="54">
  <autoFilter ref="A56:F96"/>
  <tableColumns count="6">
    <tableColumn id="1" name="PO_ID" dataDxfId="53"/>
    <tableColumn id="2" name="Order_Date" dataDxfId="52"/>
    <tableColumn id="3" name="Product_ID" dataDxfId="51"/>
    <tableColumn id="4" name="Quantity_Ordered" dataDxfId="50"/>
    <tableColumn id="5" name="Cost_Price" dataDxfId="49"/>
    <tableColumn id="6" name="LeadTime" dataDxfId="4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Purchase" displayName="Purchase" ref="A1:G41" tableType="queryTable" totalsRowShown="0" headerRowDxfId="47" dataDxfId="46">
  <autoFilter ref="A1:G41"/>
  <tableColumns count="7">
    <tableColumn id="26" uniqueName="26" name="PO_ID" queryTableFieldId="1" dataDxfId="45"/>
    <tableColumn id="27" uniqueName="27" name="Order_Date" queryTableFieldId="2" dataDxfId="44"/>
    <tableColumn id="28" uniqueName="28" name="Product_ID" queryTableFieldId="3" dataDxfId="43"/>
    <tableColumn id="29" uniqueName="29" name="Quantity_Ordered" queryTableFieldId="4" dataDxfId="42"/>
    <tableColumn id="30" uniqueName="30" name="Cost_Price" queryTableFieldId="5" dataDxfId="41"/>
    <tableColumn id="31" uniqueName="31" name="LeadTime" queryTableFieldId="6" dataDxfId="40"/>
    <tableColumn id="32" uniqueName="32" name="Total_Purchase_Cos" queryTableFieldId="7" dataDxfId="39"/>
  </tableColumns>
  <tableStyleInfo name="TableStyleQueryResult" showFirstColumn="0" showLastColumn="0" showRowStripes="1" showColumnStripes="0"/>
</table>
</file>

<file path=xl/tables/table6.xml><?xml version="1.0" encoding="utf-8"?>
<table xmlns="http://schemas.openxmlformats.org/spreadsheetml/2006/main" id="7" name="Opening" displayName="Opening" ref="A1:B51" tableType="queryTable" totalsRowShown="0" headerRowDxfId="38" dataDxfId="37">
  <autoFilter ref="A1:B51"/>
  <tableColumns count="2">
    <tableColumn id="6" uniqueName="6" name="Product_ID" queryTableFieldId="1" dataDxfId="36"/>
    <tableColumn id="7" uniqueName="7" name="Opening_Stock" queryTableFieldId="2" dataDxfId="35"/>
  </tableColumns>
  <tableStyleInfo name="TableStyleQueryResult" showFirstColumn="0" showLastColumn="0" showRowStripes="1" showColumnStripes="0"/>
</table>
</file>

<file path=xl/tables/table7.xml><?xml version="1.0" encoding="utf-8"?>
<table xmlns="http://schemas.openxmlformats.org/spreadsheetml/2006/main" id="8" name="Inventory_Movement" displayName="Inventory_Movement" ref="A1:E464" tableType="queryTable" totalsRowShown="0" headerRowDxfId="34" dataDxfId="33">
  <autoFilter ref="A1:E464"/>
  <tableColumns count="5">
    <tableColumn id="15" uniqueName="15" name="Product_ID" queryTableFieldId="1" dataDxfId="32"/>
    <tableColumn id="16" uniqueName="16" name="Opening_Stock" queryTableFieldId="2" dataDxfId="31"/>
    <tableColumn id="17" uniqueName="17" name="Quantity_in" queryTableFieldId="3" dataDxfId="30"/>
    <tableColumn id="18" uniqueName="18" name="Quantity_out" queryTableFieldId="4" dataDxfId="29"/>
    <tableColumn id="19" uniqueName="19" name="Current Stock" queryTableFieldId="5" dataDxfId="28"/>
  </tableColumns>
  <tableStyleInfo name="TableStyleQueryResult" showFirstColumn="0" showLastColumn="0" showRowStripes="1" showColumnStripes="0"/>
</table>
</file>

<file path=xl/tables/table8.xml><?xml version="1.0" encoding="utf-8"?>
<table xmlns="http://schemas.openxmlformats.org/spreadsheetml/2006/main" id="5" name="Sales" displayName="Sales" ref="A1:G101" tableType="queryTable" totalsRowShown="0" headerRowDxfId="19" dataDxfId="18">
  <autoFilter ref="A1:G101"/>
  <tableColumns count="7">
    <tableColumn id="26" uniqueName="26" name="Sale_ID" queryTableFieldId="1" dataDxfId="17"/>
    <tableColumn id="27" uniqueName="27" name="Date" queryTableFieldId="2" dataDxfId="16"/>
    <tableColumn id="28" uniqueName="28" name="Week" queryTableFieldId="3" dataDxfId="15"/>
    <tableColumn id="29" uniqueName="29" name="Product_ID" queryTableFieldId="4" dataDxfId="14"/>
    <tableColumn id="30" uniqueName="30" name="Quantity" queryTableFieldId="5" dataDxfId="13"/>
    <tableColumn id="31" uniqueName="31" name="Unit_Price" queryTableFieldId="6" dataDxfId="12"/>
    <tableColumn id="32" uniqueName="32" name="Total_Sales" queryTableFieldId="7" dataDxfId="11"/>
  </tableColumns>
  <tableStyleInfo name="TableStyleQueryResult" showFirstColumn="0" showLastColumn="0" showRowStripes="1" showColumnStripes="0"/>
</table>
</file>

<file path=xl/tables/table9.xml><?xml version="1.0" encoding="utf-8"?>
<table xmlns="http://schemas.openxmlformats.org/spreadsheetml/2006/main" id="13" name="avg_demand" displayName="avg_demand" ref="N7:O22" totalsRowShown="0">
  <autoFilter ref="N7:O22"/>
  <tableColumns count="2">
    <tableColumn id="1" name="Product_ID"/>
    <tableColumn id="2" name="Average of Weekly Demand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9" name="Table9" displayName="Table9" ref="A1:G16" totalsRowShown="0" headerRowDxfId="10" dataDxfId="8" headerRowBorderDxfId="9" tableBorderDxfId="7">
  <autoFilter ref="A1:G16"/>
  <tableColumns count="7">
    <tableColumn id="1" name="Product_ID" dataDxfId="6"/>
    <tableColumn id="2" name="Total Units Sold" dataDxfId="5">
      <calculatedColumnFormula>SUMIF(Sales[Product_ID],'Product Analysis'!A2,Sales[Quantity])</calculatedColumnFormula>
    </tableColumn>
    <tableColumn id="3" name="Avg Weekly Demand" dataDxfId="4">
      <calculatedColumnFormula>INDEX(avg_demand[Average of Weekly Demand],MATCH(Table9[Product_ID],avg_demand[Product_ID]))</calculatedColumnFormula>
    </tableColumn>
    <tableColumn id="4" name="Std Dev" dataDxfId="3"/>
    <tableColumn id="5" name="Lead Time" dataDxfId="2">
      <calculatedColumnFormula>Purchase[LeadTime]</calculatedColumnFormula>
    </tableColumn>
    <tableColumn id="6" name="Safety Stock" dataDxfId="1">
      <calculatedColumnFormula>1.65*C2*SQRT(E2)</calculatedColumnFormula>
    </tableColumn>
    <tableColumn id="7" name="ROP" dataDxfId="0">
      <calculatedColumnFormula>Table9[Avg Weekly Demand]*Table9[Lead Time]+Table9[Safety Stock]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topLeftCell="A32" workbookViewId="0">
      <selection activeCell="B5" sqref="B5"/>
    </sheetView>
  </sheetViews>
  <sheetFormatPr defaultRowHeight="14.5" x14ac:dyDescent="0.35"/>
  <cols>
    <col min="1" max="1" width="14.81640625" style="4" bestFit="1" customWidth="1"/>
    <col min="2" max="2" width="18" style="4" bestFit="1" customWidth="1"/>
    <col min="3" max="3" width="12.81640625" style="4" bestFit="1" customWidth="1"/>
    <col min="4" max="4" width="14.1796875" style="4" bestFit="1" customWidth="1"/>
    <col min="5" max="5" width="15.7265625" style="4" bestFit="1" customWidth="1"/>
    <col min="6" max="16384" width="8.7265625" style="4"/>
  </cols>
  <sheetData>
    <row r="1" spans="1: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9" x14ac:dyDescent="0.35">
      <c r="A2" s="1" t="s">
        <v>5</v>
      </c>
      <c r="B2" s="1" t="s">
        <v>6</v>
      </c>
      <c r="C2" s="1" t="s">
        <v>7</v>
      </c>
      <c r="D2" s="1">
        <v>4</v>
      </c>
      <c r="E2" s="1">
        <v>5.75</v>
      </c>
    </row>
    <row r="3" spans="1:5" x14ac:dyDescent="0.35">
      <c r="A3" s="1" t="s">
        <v>8</v>
      </c>
      <c r="B3" s="1" t="s">
        <v>9</v>
      </c>
      <c r="C3" s="1" t="s">
        <v>7</v>
      </c>
      <c r="D3" s="1">
        <v>0.9</v>
      </c>
      <c r="E3" s="1">
        <v>1.5</v>
      </c>
    </row>
    <row r="4" spans="1:5" x14ac:dyDescent="0.35">
      <c r="A4" s="1" t="s">
        <v>10</v>
      </c>
      <c r="B4" s="1" t="s">
        <v>11</v>
      </c>
      <c r="C4" s="1" t="s">
        <v>7</v>
      </c>
      <c r="D4" s="1">
        <v>7.2</v>
      </c>
      <c r="E4" s="1">
        <v>9.9499999999999993</v>
      </c>
    </row>
    <row r="5" spans="1:5" ht="29" x14ac:dyDescent="0.35">
      <c r="A5" s="1" t="s">
        <v>12</v>
      </c>
      <c r="B5" s="1" t="s">
        <v>13</v>
      </c>
      <c r="C5" s="1" t="s">
        <v>7</v>
      </c>
      <c r="D5" s="1">
        <v>6.8</v>
      </c>
      <c r="E5" s="1">
        <v>9.25</v>
      </c>
    </row>
    <row r="6" spans="1:5" x14ac:dyDescent="0.35">
      <c r="A6" s="1" t="s">
        <v>14</v>
      </c>
      <c r="B6" s="1" t="s">
        <v>15</v>
      </c>
      <c r="C6" s="1" t="s">
        <v>7</v>
      </c>
      <c r="D6" s="1">
        <v>5.5</v>
      </c>
      <c r="E6" s="1">
        <v>7.5</v>
      </c>
    </row>
    <row r="7" spans="1:5" x14ac:dyDescent="0.35">
      <c r="A7" s="1" t="s">
        <v>16</v>
      </c>
      <c r="B7" s="1" t="s">
        <v>17</v>
      </c>
      <c r="C7" s="1" t="s">
        <v>7</v>
      </c>
      <c r="D7" s="1">
        <v>15</v>
      </c>
      <c r="E7" s="1">
        <v>19.95</v>
      </c>
    </row>
    <row r="8" spans="1:5" ht="29" x14ac:dyDescent="0.35">
      <c r="A8" s="1" t="s">
        <v>18</v>
      </c>
      <c r="B8" s="1" t="s">
        <v>19</v>
      </c>
      <c r="C8" s="1" t="s">
        <v>7</v>
      </c>
      <c r="D8" s="1">
        <v>2.8</v>
      </c>
      <c r="E8" s="1">
        <v>3.95</v>
      </c>
    </row>
    <row r="9" spans="1:5" x14ac:dyDescent="0.35">
      <c r="A9" s="1" t="s">
        <v>20</v>
      </c>
      <c r="B9" s="1" t="s">
        <v>21</v>
      </c>
      <c r="C9" s="1" t="s">
        <v>22</v>
      </c>
      <c r="D9" s="1">
        <v>1.1000000000000001</v>
      </c>
      <c r="E9" s="1">
        <v>2</v>
      </c>
    </row>
    <row r="10" spans="1:5" x14ac:dyDescent="0.35">
      <c r="A10" s="1" t="s">
        <v>23</v>
      </c>
      <c r="B10" s="1" t="s">
        <v>24</v>
      </c>
      <c r="C10" s="1" t="s">
        <v>22</v>
      </c>
      <c r="D10" s="1">
        <v>1.05</v>
      </c>
      <c r="E10" s="1">
        <v>2</v>
      </c>
    </row>
    <row r="11" spans="1:5" ht="29" x14ac:dyDescent="0.35">
      <c r="A11" s="1" t="s">
        <v>25</v>
      </c>
      <c r="B11" s="1" t="s">
        <v>26</v>
      </c>
      <c r="C11" s="1" t="s">
        <v>22</v>
      </c>
      <c r="D11" s="1">
        <v>5.5</v>
      </c>
      <c r="E11" s="1">
        <v>7.95</v>
      </c>
    </row>
    <row r="12" spans="1:5" x14ac:dyDescent="0.35">
      <c r="A12" s="1" t="s">
        <v>27</v>
      </c>
      <c r="B12" s="1" t="s">
        <v>28</v>
      </c>
      <c r="C12" s="1" t="s">
        <v>22</v>
      </c>
      <c r="D12" s="1">
        <v>0.8</v>
      </c>
      <c r="E12" s="1">
        <v>1.5</v>
      </c>
    </row>
    <row r="13" spans="1:5" ht="29" x14ac:dyDescent="0.35">
      <c r="A13" s="1" t="s">
        <v>29</v>
      </c>
      <c r="B13" s="1" t="s">
        <v>30</v>
      </c>
      <c r="C13" s="1" t="s">
        <v>22</v>
      </c>
      <c r="D13" s="1">
        <v>1.4</v>
      </c>
      <c r="E13" s="1">
        <v>2.5</v>
      </c>
    </row>
    <row r="14" spans="1:5" x14ac:dyDescent="0.35">
      <c r="A14" s="1" t="s">
        <v>31</v>
      </c>
      <c r="B14" s="1" t="s">
        <v>32</v>
      </c>
      <c r="C14" s="1" t="s">
        <v>22</v>
      </c>
      <c r="D14" s="1">
        <v>0.5</v>
      </c>
      <c r="E14" s="1">
        <v>1</v>
      </c>
    </row>
    <row r="15" spans="1:5" ht="29" x14ac:dyDescent="0.35">
      <c r="A15" s="1" t="s">
        <v>33</v>
      </c>
      <c r="B15" s="1" t="s">
        <v>34</v>
      </c>
      <c r="C15" s="1" t="s">
        <v>22</v>
      </c>
      <c r="D15" s="1">
        <v>5.8</v>
      </c>
      <c r="E15" s="1">
        <v>8.5</v>
      </c>
    </row>
    <row r="16" spans="1:5" x14ac:dyDescent="0.35">
      <c r="A16" s="1" t="s">
        <v>35</v>
      </c>
      <c r="B16" s="1" t="s">
        <v>36</v>
      </c>
      <c r="C16" s="1" t="s">
        <v>37</v>
      </c>
      <c r="D16" s="1">
        <v>6</v>
      </c>
      <c r="E16" s="1">
        <v>9.5</v>
      </c>
    </row>
    <row r="17" spans="1:5" x14ac:dyDescent="0.35">
      <c r="A17" s="1" t="s">
        <v>38</v>
      </c>
      <c r="B17" s="1" t="s">
        <v>39</v>
      </c>
      <c r="C17" s="1" t="s">
        <v>37</v>
      </c>
      <c r="D17" s="1">
        <v>1.8</v>
      </c>
      <c r="E17" s="1">
        <v>3</v>
      </c>
    </row>
    <row r="18" spans="1:5" x14ac:dyDescent="0.35">
      <c r="A18" s="1" t="s">
        <v>40</v>
      </c>
      <c r="B18" s="1" t="s">
        <v>41</v>
      </c>
      <c r="C18" s="1" t="s">
        <v>37</v>
      </c>
      <c r="D18" s="1">
        <v>1.7</v>
      </c>
      <c r="E18" s="1">
        <v>2.75</v>
      </c>
    </row>
    <row r="19" spans="1:5" x14ac:dyDescent="0.35">
      <c r="A19" s="1" t="s">
        <v>42</v>
      </c>
      <c r="B19" s="1" t="s">
        <v>43</v>
      </c>
      <c r="C19" s="1" t="s">
        <v>37</v>
      </c>
      <c r="D19" s="1">
        <v>1.6</v>
      </c>
      <c r="E19" s="1">
        <v>2.5</v>
      </c>
    </row>
    <row r="20" spans="1:5" x14ac:dyDescent="0.35">
      <c r="A20" s="1" t="s">
        <v>44</v>
      </c>
      <c r="B20" s="1" t="s">
        <v>45</v>
      </c>
      <c r="C20" s="1" t="s">
        <v>37</v>
      </c>
      <c r="D20" s="1">
        <v>2.9</v>
      </c>
      <c r="E20" s="1">
        <v>4.5</v>
      </c>
    </row>
    <row r="21" spans="1:5" x14ac:dyDescent="0.35">
      <c r="A21" s="1" t="s">
        <v>46</v>
      </c>
      <c r="B21" s="1" t="s">
        <v>47</v>
      </c>
      <c r="C21" s="1" t="s">
        <v>37</v>
      </c>
      <c r="D21" s="1">
        <v>10.5</v>
      </c>
      <c r="E21" s="1">
        <v>14.95</v>
      </c>
    </row>
    <row r="22" spans="1:5" x14ac:dyDescent="0.35">
      <c r="A22" s="1" t="s">
        <v>48</v>
      </c>
      <c r="B22" s="1" t="s">
        <v>49</v>
      </c>
      <c r="C22" s="1" t="s">
        <v>37</v>
      </c>
      <c r="D22" s="1">
        <v>3.2</v>
      </c>
      <c r="E22" s="1">
        <v>4.75</v>
      </c>
    </row>
    <row r="23" spans="1:5" x14ac:dyDescent="0.35">
      <c r="A23" s="1" t="s">
        <v>50</v>
      </c>
      <c r="B23" s="1" t="s">
        <v>51</v>
      </c>
      <c r="C23" s="1" t="s">
        <v>52</v>
      </c>
      <c r="D23" s="1">
        <v>1.8</v>
      </c>
      <c r="E23" s="1">
        <v>3</v>
      </c>
    </row>
    <row r="24" spans="1:5" x14ac:dyDescent="0.35">
      <c r="A24" s="1" t="s">
        <v>53</v>
      </c>
      <c r="B24" s="1" t="s">
        <v>54</v>
      </c>
      <c r="C24" s="1" t="s">
        <v>52</v>
      </c>
      <c r="D24" s="1">
        <v>3</v>
      </c>
      <c r="E24" s="1">
        <v>4.5</v>
      </c>
    </row>
    <row r="25" spans="1:5" x14ac:dyDescent="0.35">
      <c r="A25" s="1" t="s">
        <v>55</v>
      </c>
      <c r="B25" s="1" t="s">
        <v>56</v>
      </c>
      <c r="C25" s="1" t="s">
        <v>52</v>
      </c>
      <c r="D25" s="1">
        <v>3.5</v>
      </c>
      <c r="E25" s="1">
        <v>5</v>
      </c>
    </row>
    <row r="26" spans="1:5" x14ac:dyDescent="0.35">
      <c r="A26" s="1" t="s">
        <v>57</v>
      </c>
      <c r="B26" s="1" t="s">
        <v>58</v>
      </c>
      <c r="C26" s="1" t="s">
        <v>52</v>
      </c>
      <c r="D26" s="1">
        <v>2</v>
      </c>
      <c r="E26" s="1">
        <v>3.5</v>
      </c>
    </row>
    <row r="27" spans="1:5" x14ac:dyDescent="0.35">
      <c r="A27" s="1" t="s">
        <v>59</v>
      </c>
      <c r="B27" s="1" t="s">
        <v>60</v>
      </c>
      <c r="C27" s="1" t="s">
        <v>52</v>
      </c>
      <c r="D27" s="1">
        <v>1.2</v>
      </c>
      <c r="E27" s="1">
        <v>2.5</v>
      </c>
    </row>
    <row r="28" spans="1:5" x14ac:dyDescent="0.35">
      <c r="A28" s="1" t="s">
        <v>61</v>
      </c>
      <c r="B28" s="1" t="s">
        <v>62</v>
      </c>
      <c r="C28" s="1" t="s">
        <v>52</v>
      </c>
      <c r="D28" s="1">
        <v>1.8</v>
      </c>
      <c r="E28" s="1">
        <v>3</v>
      </c>
    </row>
    <row r="29" spans="1:5" x14ac:dyDescent="0.35">
      <c r="A29" s="1" t="s">
        <v>63</v>
      </c>
      <c r="B29" s="1" t="s">
        <v>64</v>
      </c>
      <c r="C29" s="1" t="s">
        <v>65</v>
      </c>
      <c r="D29" s="1">
        <v>5.5</v>
      </c>
      <c r="E29" s="1">
        <v>7.95</v>
      </c>
    </row>
    <row r="30" spans="1:5" x14ac:dyDescent="0.35">
      <c r="A30" s="1" t="s">
        <v>66</v>
      </c>
      <c r="B30" s="1" t="s">
        <v>67</v>
      </c>
      <c r="C30" s="1" t="s">
        <v>65</v>
      </c>
      <c r="D30" s="1">
        <v>3.2</v>
      </c>
      <c r="E30" s="1">
        <v>4.95</v>
      </c>
    </row>
    <row r="31" spans="1:5" x14ac:dyDescent="0.35">
      <c r="A31" s="1" t="s">
        <v>68</v>
      </c>
      <c r="B31" s="1" t="s">
        <v>69</v>
      </c>
      <c r="C31" s="1" t="s">
        <v>65</v>
      </c>
      <c r="D31" s="1">
        <v>4</v>
      </c>
      <c r="E31" s="1">
        <v>6.5</v>
      </c>
    </row>
    <row r="32" spans="1:5" x14ac:dyDescent="0.35">
      <c r="A32" s="1" t="s">
        <v>70</v>
      </c>
      <c r="B32" s="1" t="s">
        <v>71</v>
      </c>
      <c r="C32" s="1" t="s">
        <v>65</v>
      </c>
      <c r="D32" s="1">
        <v>3</v>
      </c>
      <c r="E32" s="1">
        <v>4.75</v>
      </c>
    </row>
    <row r="33" spans="1:5" x14ac:dyDescent="0.35">
      <c r="A33" s="1" t="s">
        <v>72</v>
      </c>
      <c r="B33" s="1" t="s">
        <v>73</v>
      </c>
      <c r="C33" s="1" t="s">
        <v>65</v>
      </c>
      <c r="D33" s="1">
        <v>5.5</v>
      </c>
      <c r="E33" s="1">
        <v>8.5</v>
      </c>
    </row>
    <row r="34" spans="1:5" x14ac:dyDescent="0.35">
      <c r="A34" s="1" t="s">
        <v>74</v>
      </c>
      <c r="B34" s="1" t="s">
        <v>75</v>
      </c>
      <c r="C34" s="1" t="s">
        <v>65</v>
      </c>
      <c r="D34" s="1">
        <v>2.2000000000000002</v>
      </c>
      <c r="E34" s="1">
        <v>3.5</v>
      </c>
    </row>
    <row r="35" spans="1:5" x14ac:dyDescent="0.35">
      <c r="A35" s="1" t="s">
        <v>76</v>
      </c>
      <c r="B35" s="1" t="s">
        <v>77</v>
      </c>
      <c r="C35" s="1" t="s">
        <v>65</v>
      </c>
      <c r="D35" s="1">
        <v>1.8</v>
      </c>
      <c r="E35" s="1">
        <v>3</v>
      </c>
    </row>
    <row r="36" spans="1:5" x14ac:dyDescent="0.35">
      <c r="A36" s="1" t="s">
        <v>78</v>
      </c>
      <c r="B36" s="1" t="s">
        <v>79</v>
      </c>
      <c r="C36" s="1" t="s">
        <v>80</v>
      </c>
      <c r="D36" s="1">
        <v>11</v>
      </c>
      <c r="E36" s="1">
        <v>15.95</v>
      </c>
    </row>
    <row r="37" spans="1:5" x14ac:dyDescent="0.35">
      <c r="A37" s="1" t="s">
        <v>81</v>
      </c>
      <c r="B37" s="1" t="s">
        <v>82</v>
      </c>
      <c r="C37" s="1" t="s">
        <v>80</v>
      </c>
      <c r="D37" s="1">
        <v>4.2</v>
      </c>
      <c r="E37" s="1">
        <v>6.5</v>
      </c>
    </row>
    <row r="38" spans="1:5" x14ac:dyDescent="0.35">
      <c r="A38" s="1" t="s">
        <v>83</v>
      </c>
      <c r="B38" s="1" t="s">
        <v>84</v>
      </c>
      <c r="C38" s="1" t="s">
        <v>80</v>
      </c>
      <c r="D38" s="1">
        <v>7.5</v>
      </c>
      <c r="E38" s="1">
        <v>11.5</v>
      </c>
    </row>
    <row r="39" spans="1:5" ht="29" x14ac:dyDescent="0.35">
      <c r="A39" s="1" t="s">
        <v>85</v>
      </c>
      <c r="B39" s="1" t="s">
        <v>86</v>
      </c>
      <c r="C39" s="1" t="s">
        <v>80</v>
      </c>
      <c r="D39" s="1">
        <v>3.5</v>
      </c>
      <c r="E39" s="1">
        <v>5.5</v>
      </c>
    </row>
    <row r="40" spans="1:5" x14ac:dyDescent="0.35">
      <c r="A40" s="1" t="s">
        <v>87</v>
      </c>
      <c r="B40" s="1" t="s">
        <v>88</v>
      </c>
      <c r="C40" s="1" t="s">
        <v>80</v>
      </c>
      <c r="D40" s="1">
        <v>8.5</v>
      </c>
      <c r="E40" s="1">
        <v>12.95</v>
      </c>
    </row>
    <row r="41" spans="1:5" x14ac:dyDescent="0.35">
      <c r="A41" s="1" t="s">
        <v>89</v>
      </c>
      <c r="B41" s="1" t="s">
        <v>90</v>
      </c>
      <c r="C41" s="1" t="s">
        <v>80</v>
      </c>
      <c r="D41" s="1">
        <v>6</v>
      </c>
      <c r="E41" s="1">
        <v>9.5</v>
      </c>
    </row>
    <row r="42" spans="1:5" ht="29" x14ac:dyDescent="0.35">
      <c r="A42" s="1" t="s">
        <v>91</v>
      </c>
      <c r="B42" s="1" t="s">
        <v>92</v>
      </c>
      <c r="C42" s="1" t="s">
        <v>93</v>
      </c>
      <c r="D42" s="1">
        <v>7.2</v>
      </c>
      <c r="E42" s="1">
        <v>10.5</v>
      </c>
    </row>
    <row r="43" spans="1:5" ht="29" x14ac:dyDescent="0.35">
      <c r="A43" s="1" t="s">
        <v>94</v>
      </c>
      <c r="B43" s="1" t="s">
        <v>95</v>
      </c>
      <c r="C43" s="1" t="s">
        <v>93</v>
      </c>
      <c r="D43" s="1">
        <v>12</v>
      </c>
      <c r="E43" s="1">
        <v>17.5</v>
      </c>
    </row>
    <row r="44" spans="1:5" x14ac:dyDescent="0.35">
      <c r="A44" s="1" t="s">
        <v>96</v>
      </c>
      <c r="B44" s="1" t="s">
        <v>97</v>
      </c>
      <c r="C44" s="1" t="s">
        <v>93</v>
      </c>
      <c r="D44" s="1">
        <v>3.2</v>
      </c>
      <c r="E44" s="1">
        <v>5</v>
      </c>
    </row>
    <row r="45" spans="1:5" x14ac:dyDescent="0.35">
      <c r="A45" s="1" t="s">
        <v>98</v>
      </c>
      <c r="B45" s="1" t="s">
        <v>99</v>
      </c>
      <c r="C45" s="1" t="s">
        <v>93</v>
      </c>
      <c r="D45" s="1">
        <v>12.5</v>
      </c>
      <c r="E45" s="1">
        <v>17.95</v>
      </c>
    </row>
    <row r="46" spans="1:5" ht="29" x14ac:dyDescent="0.35">
      <c r="A46" s="1" t="s">
        <v>100</v>
      </c>
      <c r="B46" s="1" t="s">
        <v>101</v>
      </c>
      <c r="C46" s="1" t="s">
        <v>93</v>
      </c>
      <c r="D46" s="1">
        <v>18</v>
      </c>
      <c r="E46" s="1">
        <v>25.95</v>
      </c>
    </row>
    <row r="47" spans="1:5" ht="29" x14ac:dyDescent="0.35">
      <c r="A47" s="1" t="s">
        <v>102</v>
      </c>
      <c r="B47" s="1" t="s">
        <v>103</v>
      </c>
      <c r="C47" s="1" t="s">
        <v>93</v>
      </c>
      <c r="D47" s="1">
        <v>4.2</v>
      </c>
      <c r="E47" s="1">
        <v>6.95</v>
      </c>
    </row>
    <row r="48" spans="1:5" x14ac:dyDescent="0.35">
      <c r="A48" s="1" t="s">
        <v>104</v>
      </c>
      <c r="B48" s="1" t="s">
        <v>105</v>
      </c>
      <c r="C48" s="1" t="s">
        <v>93</v>
      </c>
      <c r="D48" s="1">
        <v>2</v>
      </c>
      <c r="E48" s="1">
        <v>3.75</v>
      </c>
    </row>
    <row r="49" spans="1:5" x14ac:dyDescent="0.35">
      <c r="A49" s="1" t="s">
        <v>106</v>
      </c>
      <c r="B49" s="1" t="s">
        <v>107</v>
      </c>
      <c r="C49" s="1" t="s">
        <v>108</v>
      </c>
      <c r="D49" s="1">
        <v>4.5</v>
      </c>
      <c r="E49" s="1">
        <v>6.95</v>
      </c>
    </row>
    <row r="50" spans="1:5" ht="29" x14ac:dyDescent="0.35">
      <c r="A50" s="1" t="s">
        <v>109</v>
      </c>
      <c r="B50" s="1" t="s">
        <v>110</v>
      </c>
      <c r="C50" s="1" t="s">
        <v>108</v>
      </c>
      <c r="D50" s="1">
        <v>12</v>
      </c>
      <c r="E50" s="1">
        <v>17.95</v>
      </c>
    </row>
    <row r="51" spans="1:5" x14ac:dyDescent="0.35">
      <c r="A51" s="1" t="s">
        <v>111</v>
      </c>
      <c r="B51" s="1" t="s">
        <v>112</v>
      </c>
      <c r="C51" s="1" t="s">
        <v>108</v>
      </c>
      <c r="D51" s="1">
        <v>1.5</v>
      </c>
      <c r="E51" s="1">
        <v>2.5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1"/>
  <sheetViews>
    <sheetView workbookViewId="0">
      <selection activeCell="A7" sqref="A7"/>
    </sheetView>
  </sheetViews>
  <sheetFormatPr defaultRowHeight="14.5" x14ac:dyDescent="0.35"/>
  <cols>
    <col min="1" max="1" width="15" customWidth="1"/>
    <col min="3" max="3" width="12.26953125" customWidth="1"/>
    <col min="4" max="4" width="15.36328125" customWidth="1"/>
    <col min="6" max="6" width="10" customWidth="1"/>
    <col min="7" max="7" width="11.54296875" bestFit="1" customWidth="1"/>
    <col min="8" max="8" width="10.453125" bestFit="1" customWidth="1"/>
    <col min="9" max="9" width="13" bestFit="1" customWidth="1"/>
    <col min="11" max="12" width="13" bestFit="1" customWidth="1"/>
  </cols>
  <sheetData>
    <row r="1" spans="1:12" ht="29" x14ac:dyDescent="0.35">
      <c r="A1" s="6" t="s">
        <v>0</v>
      </c>
      <c r="B1" s="6" t="s">
        <v>262</v>
      </c>
      <c r="G1" s="2" t="s">
        <v>113</v>
      </c>
      <c r="H1" s="2" t="s">
        <v>114</v>
      </c>
      <c r="I1" s="2" t="s">
        <v>0</v>
      </c>
      <c r="J1" s="2" t="s">
        <v>115</v>
      </c>
      <c r="K1" s="2" t="s">
        <v>116</v>
      </c>
      <c r="L1" s="2" t="s">
        <v>117</v>
      </c>
    </row>
    <row r="2" spans="1:12" x14ac:dyDescent="0.35">
      <c r="A2" s="3" t="s">
        <v>5</v>
      </c>
      <c r="B2" s="3">
        <v>60</v>
      </c>
      <c r="G2" s="1" t="s">
        <v>118</v>
      </c>
      <c r="H2" s="5">
        <v>45660</v>
      </c>
      <c r="I2" s="1" t="s">
        <v>66</v>
      </c>
      <c r="J2" s="1">
        <v>12</v>
      </c>
      <c r="K2" s="1">
        <v>4.95</v>
      </c>
      <c r="L2" s="1">
        <v>59.4</v>
      </c>
    </row>
    <row r="3" spans="1:12" x14ac:dyDescent="0.35">
      <c r="A3" s="3" t="s">
        <v>8</v>
      </c>
      <c r="B3" s="3">
        <v>80</v>
      </c>
      <c r="G3" s="1" t="s">
        <v>119</v>
      </c>
      <c r="H3" s="5">
        <v>45662</v>
      </c>
      <c r="I3" s="1" t="s">
        <v>20</v>
      </c>
      <c r="J3" s="1">
        <v>24</v>
      </c>
      <c r="K3" s="1">
        <v>2</v>
      </c>
      <c r="L3" s="1">
        <v>48</v>
      </c>
    </row>
    <row r="4" spans="1:12" x14ac:dyDescent="0.35">
      <c r="A4" s="3" t="s">
        <v>10</v>
      </c>
      <c r="B4" s="3">
        <v>50</v>
      </c>
      <c r="G4" s="1" t="s">
        <v>120</v>
      </c>
      <c r="H4" s="5">
        <v>45663</v>
      </c>
      <c r="I4" s="1" t="s">
        <v>38</v>
      </c>
      <c r="J4" s="1">
        <v>18</v>
      </c>
      <c r="K4" s="1">
        <v>3</v>
      </c>
      <c r="L4" s="1">
        <v>54</v>
      </c>
    </row>
    <row r="5" spans="1:12" x14ac:dyDescent="0.35">
      <c r="A5" s="3" t="s">
        <v>12</v>
      </c>
      <c r="B5" s="3">
        <v>45</v>
      </c>
      <c r="G5" s="1" t="s">
        <v>121</v>
      </c>
      <c r="H5" s="5">
        <v>45665</v>
      </c>
      <c r="I5" s="1" t="s">
        <v>5</v>
      </c>
      <c r="J5" s="1">
        <v>10</v>
      </c>
      <c r="K5" s="1">
        <v>5.75</v>
      </c>
      <c r="L5" s="1">
        <v>57.5</v>
      </c>
    </row>
    <row r="6" spans="1:12" x14ac:dyDescent="0.35">
      <c r="A6" s="3" t="s">
        <v>14</v>
      </c>
      <c r="B6" s="3">
        <v>55</v>
      </c>
      <c r="G6" s="1" t="s">
        <v>122</v>
      </c>
      <c r="H6" s="5">
        <v>45667</v>
      </c>
      <c r="I6" s="1" t="s">
        <v>46</v>
      </c>
      <c r="J6" s="1">
        <v>6</v>
      </c>
      <c r="K6" s="1">
        <v>14.95</v>
      </c>
      <c r="L6" s="1">
        <v>89.7</v>
      </c>
    </row>
    <row r="7" spans="1:12" x14ac:dyDescent="0.35">
      <c r="A7" s="3" t="s">
        <v>16</v>
      </c>
      <c r="B7" s="3">
        <v>40</v>
      </c>
      <c r="G7" s="1" t="s">
        <v>123</v>
      </c>
      <c r="H7" s="5">
        <v>45669</v>
      </c>
      <c r="I7" s="1" t="s">
        <v>35</v>
      </c>
      <c r="J7" s="1">
        <v>7</v>
      </c>
      <c r="K7" s="1">
        <v>9.5</v>
      </c>
      <c r="L7" s="1">
        <v>66.5</v>
      </c>
    </row>
    <row r="8" spans="1:12" x14ac:dyDescent="0.35">
      <c r="A8" s="3" t="s">
        <v>18</v>
      </c>
      <c r="B8" s="3">
        <v>50</v>
      </c>
      <c r="G8" s="1" t="s">
        <v>124</v>
      </c>
      <c r="H8" s="5">
        <v>45672</v>
      </c>
      <c r="I8" s="1" t="s">
        <v>78</v>
      </c>
      <c r="J8" s="1">
        <v>9</v>
      </c>
      <c r="K8" s="1">
        <v>15.95</v>
      </c>
      <c r="L8" s="1">
        <v>143.55000000000001</v>
      </c>
    </row>
    <row r="9" spans="1:12" x14ac:dyDescent="0.35">
      <c r="A9" s="3" t="s">
        <v>20</v>
      </c>
      <c r="B9" s="3">
        <v>120</v>
      </c>
      <c r="G9" s="1" t="s">
        <v>125</v>
      </c>
      <c r="H9" s="5">
        <v>45675</v>
      </c>
      <c r="I9" s="1" t="s">
        <v>91</v>
      </c>
      <c r="J9" s="1">
        <v>5</v>
      </c>
      <c r="K9" s="1">
        <v>10.5</v>
      </c>
      <c r="L9" s="1">
        <v>52.5</v>
      </c>
    </row>
    <row r="10" spans="1:12" x14ac:dyDescent="0.35">
      <c r="A10" s="3" t="s">
        <v>23</v>
      </c>
      <c r="B10" s="3">
        <v>90</v>
      </c>
      <c r="G10" s="1" t="s">
        <v>126</v>
      </c>
      <c r="H10" s="5">
        <v>45677</v>
      </c>
      <c r="I10" s="1" t="s">
        <v>63</v>
      </c>
      <c r="J10" s="1">
        <v>15</v>
      </c>
      <c r="K10" s="1">
        <v>7.95</v>
      </c>
      <c r="L10" s="1">
        <v>119.25</v>
      </c>
    </row>
    <row r="11" spans="1:12" x14ac:dyDescent="0.35">
      <c r="A11" s="3" t="s">
        <v>25</v>
      </c>
      <c r="B11" s="3">
        <v>35</v>
      </c>
      <c r="G11" s="1" t="s">
        <v>127</v>
      </c>
      <c r="H11" s="5">
        <v>45680</v>
      </c>
      <c r="I11" s="1" t="s">
        <v>48</v>
      </c>
      <c r="J11" s="1">
        <v>11</v>
      </c>
      <c r="K11" s="1">
        <v>4.75</v>
      </c>
      <c r="L11" s="1">
        <v>52.25</v>
      </c>
    </row>
    <row r="12" spans="1:12" x14ac:dyDescent="0.35">
      <c r="A12" s="3" t="s">
        <v>27</v>
      </c>
      <c r="B12" s="3">
        <v>150</v>
      </c>
      <c r="G12" s="1" t="s">
        <v>128</v>
      </c>
      <c r="H12" s="5">
        <v>45690</v>
      </c>
      <c r="I12" s="1" t="s">
        <v>38</v>
      </c>
      <c r="J12" s="1">
        <v>20</v>
      </c>
      <c r="K12" s="1">
        <v>3</v>
      </c>
      <c r="L12" s="1">
        <v>60</v>
      </c>
    </row>
    <row r="13" spans="1:12" x14ac:dyDescent="0.35">
      <c r="A13" s="3" t="s">
        <v>29</v>
      </c>
      <c r="B13" s="3">
        <v>85</v>
      </c>
      <c r="G13" s="1" t="s">
        <v>129</v>
      </c>
      <c r="H13" s="5">
        <v>45692</v>
      </c>
      <c r="I13" s="1" t="s">
        <v>66</v>
      </c>
      <c r="J13" s="1">
        <v>14</v>
      </c>
      <c r="K13" s="1">
        <v>4.95</v>
      </c>
      <c r="L13" s="1">
        <v>69.3</v>
      </c>
    </row>
    <row r="14" spans="1:12" x14ac:dyDescent="0.35">
      <c r="A14" s="3" t="s">
        <v>31</v>
      </c>
      <c r="B14" s="3">
        <v>110</v>
      </c>
      <c r="G14" s="1" t="s">
        <v>130</v>
      </c>
      <c r="H14" s="5">
        <v>45695</v>
      </c>
      <c r="I14" s="1" t="s">
        <v>20</v>
      </c>
      <c r="J14" s="1">
        <v>30</v>
      </c>
      <c r="K14" s="1">
        <v>2</v>
      </c>
      <c r="L14" s="1">
        <v>60</v>
      </c>
    </row>
    <row r="15" spans="1:12" x14ac:dyDescent="0.35">
      <c r="A15" s="3" t="s">
        <v>33</v>
      </c>
      <c r="B15" s="3">
        <v>60</v>
      </c>
      <c r="G15" s="1" t="s">
        <v>131</v>
      </c>
      <c r="H15" s="5">
        <v>45699</v>
      </c>
      <c r="I15" s="1" t="s">
        <v>53</v>
      </c>
      <c r="J15" s="1">
        <v>8</v>
      </c>
      <c r="K15" s="1">
        <v>4.5</v>
      </c>
      <c r="L15" s="1">
        <v>36</v>
      </c>
    </row>
    <row r="16" spans="1:12" x14ac:dyDescent="0.35">
      <c r="A16" s="3" t="s">
        <v>35</v>
      </c>
      <c r="B16" s="3">
        <v>70</v>
      </c>
      <c r="G16" s="1" t="s">
        <v>132</v>
      </c>
      <c r="H16" s="5">
        <v>45702</v>
      </c>
      <c r="I16" s="1" t="s">
        <v>40</v>
      </c>
      <c r="J16" s="1">
        <v>15</v>
      </c>
      <c r="K16" s="1">
        <v>2.75</v>
      </c>
      <c r="L16" s="1">
        <v>41.25</v>
      </c>
    </row>
    <row r="17" spans="1:12" x14ac:dyDescent="0.35">
      <c r="A17" s="3" t="s">
        <v>38</v>
      </c>
      <c r="B17" s="3">
        <v>100</v>
      </c>
      <c r="G17" s="1" t="s">
        <v>133</v>
      </c>
      <c r="H17" s="5">
        <v>45706</v>
      </c>
      <c r="I17" s="1" t="s">
        <v>83</v>
      </c>
      <c r="J17" s="1">
        <v>6</v>
      </c>
      <c r="K17" s="1">
        <v>11.5</v>
      </c>
      <c r="L17" s="1">
        <v>69</v>
      </c>
    </row>
    <row r="18" spans="1:12" x14ac:dyDescent="0.35">
      <c r="A18" s="3" t="s">
        <v>40</v>
      </c>
      <c r="B18" s="3">
        <v>65</v>
      </c>
      <c r="G18" s="1" t="s">
        <v>134</v>
      </c>
      <c r="H18" s="5">
        <v>45708</v>
      </c>
      <c r="I18" s="1" t="s">
        <v>96</v>
      </c>
      <c r="J18" s="1">
        <v>7</v>
      </c>
      <c r="K18" s="1">
        <v>5</v>
      </c>
      <c r="L18" s="1">
        <v>35</v>
      </c>
    </row>
    <row r="19" spans="1:12" x14ac:dyDescent="0.35">
      <c r="A19" s="3" t="s">
        <v>42</v>
      </c>
      <c r="B19" s="3">
        <v>60</v>
      </c>
      <c r="G19" s="1" t="s">
        <v>135</v>
      </c>
      <c r="H19" s="5">
        <v>45712</v>
      </c>
      <c r="I19" s="1" t="s">
        <v>72</v>
      </c>
      <c r="J19" s="1">
        <v>9</v>
      </c>
      <c r="K19" s="1">
        <v>8.5</v>
      </c>
      <c r="L19" s="1">
        <v>76.5</v>
      </c>
    </row>
    <row r="20" spans="1:12" x14ac:dyDescent="0.35">
      <c r="A20" s="3" t="s">
        <v>44</v>
      </c>
      <c r="B20" s="3">
        <v>75</v>
      </c>
      <c r="G20" s="1" t="s">
        <v>136</v>
      </c>
      <c r="H20" s="5">
        <v>45718</v>
      </c>
      <c r="I20" s="1" t="s">
        <v>46</v>
      </c>
      <c r="J20" s="1">
        <v>8</v>
      </c>
      <c r="K20" s="1">
        <v>14.95</v>
      </c>
      <c r="L20" s="1">
        <v>119.6</v>
      </c>
    </row>
    <row r="21" spans="1:12" x14ac:dyDescent="0.35">
      <c r="A21" s="3" t="s">
        <v>46</v>
      </c>
      <c r="B21" s="3">
        <v>50</v>
      </c>
      <c r="G21" s="1" t="s">
        <v>137</v>
      </c>
      <c r="H21" s="5">
        <v>45721</v>
      </c>
      <c r="I21" s="1" t="s">
        <v>35</v>
      </c>
      <c r="J21" s="1">
        <v>10</v>
      </c>
      <c r="K21" s="1">
        <v>9.5</v>
      </c>
      <c r="L21" s="1">
        <v>95</v>
      </c>
    </row>
    <row r="22" spans="1:12" x14ac:dyDescent="0.35">
      <c r="A22" s="3" t="s">
        <v>48</v>
      </c>
      <c r="B22" s="3">
        <v>60</v>
      </c>
      <c r="G22" s="1" t="s">
        <v>138</v>
      </c>
      <c r="H22" s="5">
        <v>45724</v>
      </c>
      <c r="I22" s="1" t="s">
        <v>5</v>
      </c>
      <c r="J22" s="1">
        <v>13</v>
      </c>
      <c r="K22" s="1">
        <v>5.75</v>
      </c>
      <c r="L22" s="1">
        <v>74.75</v>
      </c>
    </row>
    <row r="23" spans="1:12" x14ac:dyDescent="0.35">
      <c r="A23" s="3" t="s">
        <v>50</v>
      </c>
      <c r="B23" s="3">
        <v>40</v>
      </c>
      <c r="G23" s="1" t="s">
        <v>139</v>
      </c>
      <c r="H23" s="5">
        <v>45728</v>
      </c>
      <c r="I23" s="1" t="s">
        <v>66</v>
      </c>
      <c r="J23" s="1">
        <v>16</v>
      </c>
      <c r="K23" s="1">
        <v>4.95</v>
      </c>
      <c r="L23" s="1">
        <v>79.2</v>
      </c>
    </row>
    <row r="24" spans="1:12" x14ac:dyDescent="0.35">
      <c r="A24" s="3" t="s">
        <v>53</v>
      </c>
      <c r="B24" s="3">
        <v>45</v>
      </c>
      <c r="G24" s="1" t="s">
        <v>140</v>
      </c>
      <c r="H24" s="5">
        <v>45732</v>
      </c>
      <c r="I24" s="1" t="s">
        <v>20</v>
      </c>
      <c r="J24" s="1">
        <v>26</v>
      </c>
      <c r="K24" s="1">
        <v>2</v>
      </c>
      <c r="L24" s="1">
        <v>52</v>
      </c>
    </row>
    <row r="25" spans="1:12" x14ac:dyDescent="0.35">
      <c r="A25" s="3" t="s">
        <v>55</v>
      </c>
      <c r="B25" s="3">
        <v>50</v>
      </c>
      <c r="G25" s="1" t="s">
        <v>141</v>
      </c>
      <c r="H25" s="5">
        <v>45734</v>
      </c>
      <c r="I25" s="1" t="s">
        <v>38</v>
      </c>
      <c r="J25" s="1">
        <v>21</v>
      </c>
      <c r="K25" s="1">
        <v>3</v>
      </c>
      <c r="L25" s="1">
        <v>63</v>
      </c>
    </row>
    <row r="26" spans="1:12" x14ac:dyDescent="0.35">
      <c r="A26" s="3" t="s">
        <v>57</v>
      </c>
      <c r="B26" s="3">
        <v>35</v>
      </c>
      <c r="G26" s="1" t="s">
        <v>142</v>
      </c>
      <c r="H26" s="5">
        <v>45738</v>
      </c>
      <c r="I26" s="1" t="s">
        <v>78</v>
      </c>
      <c r="J26" s="1">
        <v>10</v>
      </c>
      <c r="K26" s="1">
        <v>15.95</v>
      </c>
      <c r="L26" s="1">
        <v>159.5</v>
      </c>
    </row>
    <row r="27" spans="1:12" x14ac:dyDescent="0.35">
      <c r="A27" s="3" t="s">
        <v>59</v>
      </c>
      <c r="B27" s="3">
        <v>30</v>
      </c>
      <c r="G27" s="1" t="s">
        <v>143</v>
      </c>
      <c r="H27" s="5">
        <v>45749</v>
      </c>
      <c r="I27" s="1" t="s">
        <v>63</v>
      </c>
      <c r="J27" s="1">
        <v>12</v>
      </c>
      <c r="K27" s="1">
        <v>7.95</v>
      </c>
      <c r="L27" s="1">
        <v>95.4</v>
      </c>
    </row>
    <row r="28" spans="1:12" x14ac:dyDescent="0.35">
      <c r="A28" s="3" t="s">
        <v>61</v>
      </c>
      <c r="B28" s="3">
        <v>40</v>
      </c>
      <c r="G28" s="1" t="s">
        <v>144</v>
      </c>
      <c r="H28" s="5">
        <v>45752</v>
      </c>
      <c r="I28" s="1" t="s">
        <v>35</v>
      </c>
      <c r="J28" s="1">
        <v>11</v>
      </c>
      <c r="K28" s="1">
        <v>9.5</v>
      </c>
      <c r="L28" s="1">
        <v>104.5</v>
      </c>
    </row>
    <row r="29" spans="1:12" x14ac:dyDescent="0.35">
      <c r="A29" s="3" t="s">
        <v>63</v>
      </c>
      <c r="B29" s="3">
        <v>90</v>
      </c>
      <c r="G29" s="1" t="s">
        <v>145</v>
      </c>
      <c r="H29" s="5">
        <v>45755</v>
      </c>
      <c r="I29" s="1" t="s">
        <v>91</v>
      </c>
      <c r="J29" s="1">
        <v>6</v>
      </c>
      <c r="K29" s="1">
        <v>10.5</v>
      </c>
      <c r="L29" s="1">
        <v>63</v>
      </c>
    </row>
    <row r="30" spans="1:12" x14ac:dyDescent="0.35">
      <c r="A30" s="3" t="s">
        <v>66</v>
      </c>
      <c r="B30" s="3">
        <v>100</v>
      </c>
      <c r="G30" s="1" t="s">
        <v>146</v>
      </c>
      <c r="H30" s="5">
        <v>45757</v>
      </c>
      <c r="I30" s="1" t="s">
        <v>66</v>
      </c>
      <c r="J30" s="1">
        <v>15</v>
      </c>
      <c r="K30" s="1">
        <v>4.95</v>
      </c>
      <c r="L30" s="1">
        <v>74.25</v>
      </c>
    </row>
    <row r="31" spans="1:12" x14ac:dyDescent="0.35">
      <c r="A31" s="3" t="s">
        <v>68</v>
      </c>
      <c r="B31" s="3">
        <v>80</v>
      </c>
      <c r="G31" s="1" t="s">
        <v>147</v>
      </c>
      <c r="H31" s="5">
        <v>45762</v>
      </c>
      <c r="I31" s="1" t="s">
        <v>38</v>
      </c>
      <c r="J31" s="1">
        <v>19</v>
      </c>
      <c r="K31" s="1">
        <v>3</v>
      </c>
      <c r="L31" s="1">
        <v>57</v>
      </c>
    </row>
    <row r="32" spans="1:12" x14ac:dyDescent="0.35">
      <c r="A32" s="3" t="s">
        <v>70</v>
      </c>
      <c r="B32" s="3">
        <v>85</v>
      </c>
      <c r="G32" s="1" t="s">
        <v>148</v>
      </c>
      <c r="H32" s="5">
        <v>45767</v>
      </c>
      <c r="I32" s="1" t="s">
        <v>5</v>
      </c>
      <c r="J32" s="1">
        <v>14</v>
      </c>
      <c r="K32" s="1">
        <v>5.75</v>
      </c>
      <c r="L32" s="1">
        <v>80.5</v>
      </c>
    </row>
    <row r="33" spans="1:12" x14ac:dyDescent="0.35">
      <c r="A33" s="3" t="s">
        <v>72</v>
      </c>
      <c r="B33" s="3">
        <v>70</v>
      </c>
      <c r="G33" s="1" t="s">
        <v>149</v>
      </c>
      <c r="H33" s="5">
        <v>45780</v>
      </c>
      <c r="I33" s="1" t="s">
        <v>46</v>
      </c>
      <c r="J33" s="1">
        <v>7</v>
      </c>
      <c r="K33" s="1">
        <v>14.95</v>
      </c>
      <c r="L33" s="1">
        <v>104.65</v>
      </c>
    </row>
    <row r="34" spans="1:12" x14ac:dyDescent="0.35">
      <c r="A34" s="3" t="s">
        <v>74</v>
      </c>
      <c r="B34" s="3">
        <v>60</v>
      </c>
      <c r="G34" s="1" t="s">
        <v>150</v>
      </c>
      <c r="H34" s="5">
        <v>45784</v>
      </c>
      <c r="I34" s="1" t="s">
        <v>20</v>
      </c>
      <c r="J34" s="1">
        <v>28</v>
      </c>
      <c r="K34" s="1">
        <v>2</v>
      </c>
      <c r="L34" s="1">
        <v>56</v>
      </c>
    </row>
    <row r="35" spans="1:12" x14ac:dyDescent="0.35">
      <c r="A35" s="3" t="s">
        <v>76</v>
      </c>
      <c r="B35" s="3">
        <v>50</v>
      </c>
      <c r="G35" s="1" t="s">
        <v>151</v>
      </c>
      <c r="H35" s="5">
        <v>45787</v>
      </c>
      <c r="I35" s="1" t="s">
        <v>53</v>
      </c>
      <c r="J35" s="1">
        <v>10</v>
      </c>
      <c r="K35" s="1">
        <v>4.5</v>
      </c>
      <c r="L35" s="1">
        <v>45</v>
      </c>
    </row>
    <row r="36" spans="1:12" x14ac:dyDescent="0.35">
      <c r="A36" s="3" t="s">
        <v>78</v>
      </c>
      <c r="B36" s="3">
        <v>55</v>
      </c>
      <c r="G36" s="1" t="s">
        <v>152</v>
      </c>
      <c r="H36" s="5">
        <v>45791</v>
      </c>
      <c r="I36" s="1" t="s">
        <v>48</v>
      </c>
      <c r="J36" s="1">
        <v>13</v>
      </c>
      <c r="K36" s="1">
        <v>4.75</v>
      </c>
      <c r="L36" s="1">
        <v>61.75</v>
      </c>
    </row>
    <row r="37" spans="1:12" x14ac:dyDescent="0.35">
      <c r="A37" s="3" t="s">
        <v>81</v>
      </c>
      <c r="B37" s="3">
        <v>45</v>
      </c>
      <c r="G37" s="1" t="s">
        <v>153</v>
      </c>
      <c r="H37" s="5">
        <v>45795</v>
      </c>
      <c r="I37" s="1" t="s">
        <v>83</v>
      </c>
      <c r="J37" s="1">
        <v>8</v>
      </c>
      <c r="K37" s="1">
        <v>11.5</v>
      </c>
      <c r="L37" s="1">
        <v>92</v>
      </c>
    </row>
    <row r="38" spans="1:12" x14ac:dyDescent="0.35">
      <c r="A38" s="3" t="s">
        <v>83</v>
      </c>
      <c r="B38" s="3">
        <v>40</v>
      </c>
      <c r="G38" s="1" t="s">
        <v>154</v>
      </c>
      <c r="H38" s="5">
        <v>45811</v>
      </c>
      <c r="I38" s="1" t="s">
        <v>35</v>
      </c>
      <c r="J38" s="1">
        <v>12</v>
      </c>
      <c r="K38" s="1">
        <v>9.5</v>
      </c>
      <c r="L38" s="1">
        <v>114</v>
      </c>
    </row>
    <row r="39" spans="1:12" x14ac:dyDescent="0.35">
      <c r="A39" s="3" t="s">
        <v>85</v>
      </c>
      <c r="B39" s="3">
        <v>35</v>
      </c>
      <c r="G39" s="1" t="s">
        <v>155</v>
      </c>
      <c r="H39" s="5">
        <v>45816</v>
      </c>
      <c r="I39" s="1" t="s">
        <v>38</v>
      </c>
      <c r="J39" s="1">
        <v>25</v>
      </c>
      <c r="K39" s="1">
        <v>3</v>
      </c>
      <c r="L39" s="1">
        <v>75</v>
      </c>
    </row>
    <row r="40" spans="1:12" x14ac:dyDescent="0.35">
      <c r="A40" s="3" t="s">
        <v>87</v>
      </c>
      <c r="B40" s="3">
        <v>30</v>
      </c>
      <c r="G40" s="1" t="s">
        <v>156</v>
      </c>
      <c r="H40" s="5">
        <v>45819</v>
      </c>
      <c r="I40" s="1" t="s">
        <v>66</v>
      </c>
      <c r="J40" s="1">
        <v>18</v>
      </c>
      <c r="K40" s="1">
        <v>4.95</v>
      </c>
      <c r="L40" s="1">
        <v>89.1</v>
      </c>
    </row>
    <row r="41" spans="1:12" x14ac:dyDescent="0.35">
      <c r="A41" s="3" t="s">
        <v>89</v>
      </c>
      <c r="B41" s="3">
        <v>25</v>
      </c>
      <c r="G41" s="1" t="s">
        <v>157</v>
      </c>
      <c r="H41" s="5">
        <v>45823</v>
      </c>
      <c r="I41" s="1" t="s">
        <v>78</v>
      </c>
      <c r="J41" s="1">
        <v>11</v>
      </c>
      <c r="K41" s="1">
        <v>15.95</v>
      </c>
      <c r="L41" s="1">
        <v>175.45</v>
      </c>
    </row>
    <row r="42" spans="1:12" x14ac:dyDescent="0.35">
      <c r="A42" s="3" t="s">
        <v>91</v>
      </c>
      <c r="B42" s="3">
        <v>60</v>
      </c>
      <c r="G42" s="1" t="s">
        <v>158</v>
      </c>
      <c r="H42" s="5">
        <v>45828</v>
      </c>
      <c r="I42" s="1" t="s">
        <v>20</v>
      </c>
      <c r="J42" s="1">
        <v>35</v>
      </c>
      <c r="K42" s="1">
        <v>2</v>
      </c>
      <c r="L42" s="1">
        <v>70</v>
      </c>
    </row>
    <row r="43" spans="1:12" x14ac:dyDescent="0.35">
      <c r="A43" s="3" t="s">
        <v>94</v>
      </c>
      <c r="B43" s="3">
        <v>45</v>
      </c>
      <c r="G43" s="1" t="s">
        <v>159</v>
      </c>
      <c r="H43" s="5">
        <v>45833</v>
      </c>
      <c r="I43" s="1" t="s">
        <v>63</v>
      </c>
      <c r="J43" s="1">
        <v>14</v>
      </c>
      <c r="K43" s="1">
        <v>7.95</v>
      </c>
      <c r="L43" s="1">
        <v>111.3</v>
      </c>
    </row>
    <row r="44" spans="1:12" x14ac:dyDescent="0.35">
      <c r="A44" s="3" t="s">
        <v>96</v>
      </c>
      <c r="B44" s="3">
        <v>70</v>
      </c>
      <c r="G44" s="1" t="s">
        <v>160</v>
      </c>
      <c r="H44" s="5">
        <v>45840</v>
      </c>
      <c r="I44" s="1" t="s">
        <v>66</v>
      </c>
      <c r="J44" s="1">
        <v>20</v>
      </c>
      <c r="K44" s="1">
        <v>4.95</v>
      </c>
      <c r="L44" s="1">
        <v>99</v>
      </c>
    </row>
    <row r="45" spans="1:12" x14ac:dyDescent="0.35">
      <c r="A45" s="3" t="s">
        <v>98</v>
      </c>
      <c r="B45" s="3">
        <v>50</v>
      </c>
      <c r="G45" s="1" t="s">
        <v>161</v>
      </c>
      <c r="H45" s="5">
        <v>45843</v>
      </c>
      <c r="I45" s="1" t="s">
        <v>38</v>
      </c>
      <c r="J45" s="1">
        <v>28</v>
      </c>
      <c r="K45" s="1">
        <v>3</v>
      </c>
      <c r="L45" s="1">
        <v>84</v>
      </c>
    </row>
    <row r="46" spans="1:12" x14ac:dyDescent="0.35">
      <c r="A46" s="3" t="s">
        <v>100</v>
      </c>
      <c r="B46" s="3">
        <v>40</v>
      </c>
      <c r="G46" s="1" t="s">
        <v>162</v>
      </c>
      <c r="H46" s="5">
        <v>45845</v>
      </c>
      <c r="I46" s="1" t="s">
        <v>35</v>
      </c>
      <c r="J46" s="1">
        <v>13</v>
      </c>
      <c r="K46" s="1">
        <v>9.5</v>
      </c>
      <c r="L46" s="1">
        <v>123.5</v>
      </c>
    </row>
    <row r="47" spans="1:12" x14ac:dyDescent="0.35">
      <c r="A47" s="3" t="s">
        <v>102</v>
      </c>
      <c r="B47" s="3">
        <v>35</v>
      </c>
      <c r="G47" s="1" t="s">
        <v>163</v>
      </c>
      <c r="H47" s="5">
        <v>45848</v>
      </c>
      <c r="I47" s="1" t="s">
        <v>5</v>
      </c>
      <c r="J47" s="1">
        <v>15</v>
      </c>
      <c r="K47" s="1">
        <v>5.75</v>
      </c>
      <c r="L47" s="1">
        <v>86.25</v>
      </c>
    </row>
    <row r="48" spans="1:12" x14ac:dyDescent="0.35">
      <c r="A48" s="3" t="s">
        <v>104</v>
      </c>
      <c r="B48" s="3">
        <v>30</v>
      </c>
      <c r="G48" s="1" t="s">
        <v>164</v>
      </c>
      <c r="H48" s="5">
        <v>45852</v>
      </c>
      <c r="I48" s="1" t="s">
        <v>48</v>
      </c>
      <c r="J48" s="1">
        <v>14</v>
      </c>
      <c r="K48" s="1">
        <v>4.75</v>
      </c>
      <c r="L48" s="1">
        <v>66.5</v>
      </c>
    </row>
    <row r="49" spans="1:12" x14ac:dyDescent="0.35">
      <c r="A49" s="3" t="s">
        <v>106</v>
      </c>
      <c r="B49" s="3">
        <v>45</v>
      </c>
      <c r="G49" s="1" t="s">
        <v>165</v>
      </c>
      <c r="H49" s="5">
        <v>45856</v>
      </c>
      <c r="I49" s="1" t="s">
        <v>78</v>
      </c>
      <c r="J49" s="1">
        <v>12</v>
      </c>
      <c r="K49" s="1">
        <v>15.95</v>
      </c>
      <c r="L49" s="1">
        <v>191.4</v>
      </c>
    </row>
    <row r="50" spans="1:12" x14ac:dyDescent="0.35">
      <c r="A50" s="3" t="s">
        <v>109</v>
      </c>
      <c r="B50" s="3">
        <v>40</v>
      </c>
      <c r="G50" s="1" t="s">
        <v>166</v>
      </c>
      <c r="H50" s="5">
        <v>45860</v>
      </c>
      <c r="I50" s="1" t="s">
        <v>20</v>
      </c>
      <c r="J50" s="1">
        <v>38</v>
      </c>
      <c r="K50" s="1">
        <v>2</v>
      </c>
      <c r="L50" s="1">
        <v>76</v>
      </c>
    </row>
    <row r="51" spans="1:12" x14ac:dyDescent="0.35">
      <c r="A51" s="3" t="s">
        <v>111</v>
      </c>
      <c r="B51" s="3">
        <v>55</v>
      </c>
      <c r="G51" s="1" t="s">
        <v>167</v>
      </c>
      <c r="H51" s="5">
        <v>45866</v>
      </c>
      <c r="I51" s="1" t="s">
        <v>46</v>
      </c>
      <c r="J51" s="1">
        <v>9</v>
      </c>
      <c r="K51" s="1">
        <v>14.95</v>
      </c>
      <c r="L51" s="1">
        <v>134.55000000000001</v>
      </c>
    </row>
    <row r="52" spans="1:12" x14ac:dyDescent="0.35">
      <c r="G52" s="1" t="s">
        <v>168</v>
      </c>
      <c r="H52" s="5">
        <v>45871</v>
      </c>
      <c r="I52" s="1" t="s">
        <v>66</v>
      </c>
      <c r="J52" s="1">
        <v>22</v>
      </c>
      <c r="K52" s="1">
        <v>4.95</v>
      </c>
      <c r="L52" s="1">
        <v>108.9</v>
      </c>
    </row>
    <row r="53" spans="1:12" x14ac:dyDescent="0.35">
      <c r="G53" s="1" t="s">
        <v>169</v>
      </c>
      <c r="H53" s="5">
        <v>45875</v>
      </c>
      <c r="I53" s="1" t="s">
        <v>38</v>
      </c>
      <c r="J53" s="1">
        <v>30</v>
      </c>
      <c r="K53" s="1">
        <v>3</v>
      </c>
      <c r="L53" s="1">
        <v>90</v>
      </c>
    </row>
    <row r="54" spans="1:12" x14ac:dyDescent="0.35">
      <c r="G54" s="1" t="s">
        <v>170</v>
      </c>
      <c r="H54" s="5">
        <v>45879</v>
      </c>
      <c r="I54" s="1" t="s">
        <v>35</v>
      </c>
      <c r="J54" s="1">
        <v>15</v>
      </c>
      <c r="K54" s="1">
        <v>9.5</v>
      </c>
      <c r="L54" s="1">
        <v>142.5</v>
      </c>
    </row>
    <row r="55" spans="1:12" x14ac:dyDescent="0.35">
      <c r="G55" s="1" t="s">
        <v>171</v>
      </c>
      <c r="H55" s="5">
        <v>45881</v>
      </c>
      <c r="I55" s="1" t="s">
        <v>63</v>
      </c>
      <c r="J55" s="1">
        <v>16</v>
      </c>
      <c r="K55" s="1">
        <v>7.95</v>
      </c>
      <c r="L55" s="1">
        <v>127.2</v>
      </c>
    </row>
    <row r="56" spans="1:12" ht="29" x14ac:dyDescent="0.35">
      <c r="A56" s="2" t="s">
        <v>218</v>
      </c>
      <c r="B56" s="2" t="s">
        <v>219</v>
      </c>
      <c r="C56" s="2" t="s">
        <v>0</v>
      </c>
      <c r="D56" s="2" t="s">
        <v>220</v>
      </c>
      <c r="E56" s="2" t="s">
        <v>3</v>
      </c>
      <c r="F56" s="2" t="s">
        <v>221</v>
      </c>
      <c r="G56" s="1" t="s">
        <v>172</v>
      </c>
      <c r="H56" s="5">
        <v>45885</v>
      </c>
      <c r="I56" s="1" t="s">
        <v>5</v>
      </c>
      <c r="J56" s="1">
        <v>17</v>
      </c>
      <c r="K56" s="1">
        <v>5.75</v>
      </c>
      <c r="L56" s="1">
        <v>97.75</v>
      </c>
    </row>
    <row r="57" spans="1:12" x14ac:dyDescent="0.35">
      <c r="A57" s="1" t="s">
        <v>222</v>
      </c>
      <c r="B57" s="5">
        <v>45654</v>
      </c>
      <c r="C57" s="1" t="s">
        <v>66</v>
      </c>
      <c r="D57" s="1">
        <v>200</v>
      </c>
      <c r="E57" s="1">
        <v>3.2</v>
      </c>
      <c r="F57" s="1">
        <v>2</v>
      </c>
      <c r="G57" s="1" t="s">
        <v>173</v>
      </c>
      <c r="H57" s="5">
        <v>45888</v>
      </c>
      <c r="I57" s="1" t="s">
        <v>78</v>
      </c>
      <c r="J57" s="1">
        <v>13</v>
      </c>
      <c r="K57" s="1">
        <v>15.95</v>
      </c>
      <c r="L57" s="1">
        <v>207.35</v>
      </c>
    </row>
    <row r="58" spans="1:12" x14ac:dyDescent="0.35">
      <c r="A58" s="1" t="s">
        <v>223</v>
      </c>
      <c r="B58" s="5">
        <v>45654</v>
      </c>
      <c r="C58" s="1" t="s">
        <v>20</v>
      </c>
      <c r="D58" s="1">
        <v>300</v>
      </c>
      <c r="E58" s="1">
        <v>1.1000000000000001</v>
      </c>
      <c r="F58" s="1">
        <v>3</v>
      </c>
      <c r="G58" s="1" t="s">
        <v>174</v>
      </c>
      <c r="H58" s="5">
        <v>45892</v>
      </c>
      <c r="I58" s="1" t="s">
        <v>20</v>
      </c>
      <c r="J58" s="1">
        <v>40</v>
      </c>
      <c r="K58" s="1">
        <v>2</v>
      </c>
      <c r="L58" s="1">
        <v>80</v>
      </c>
    </row>
    <row r="59" spans="1:12" x14ac:dyDescent="0.35">
      <c r="A59" s="1" t="s">
        <v>224</v>
      </c>
      <c r="B59" s="5">
        <v>45654</v>
      </c>
      <c r="C59" s="1" t="s">
        <v>38</v>
      </c>
      <c r="D59" s="1">
        <v>180</v>
      </c>
      <c r="E59" s="1">
        <v>1.8</v>
      </c>
      <c r="F59" s="1">
        <v>4</v>
      </c>
      <c r="G59" s="1" t="s">
        <v>175</v>
      </c>
      <c r="H59" s="5">
        <v>45896</v>
      </c>
      <c r="I59" s="1" t="s">
        <v>48</v>
      </c>
      <c r="J59" s="1">
        <v>16</v>
      </c>
      <c r="K59" s="1">
        <v>4.75</v>
      </c>
      <c r="L59" s="1">
        <v>76</v>
      </c>
    </row>
    <row r="60" spans="1:12" x14ac:dyDescent="0.35">
      <c r="A60" s="1" t="s">
        <v>225</v>
      </c>
      <c r="B60" s="5">
        <v>45654</v>
      </c>
      <c r="C60" s="1" t="s">
        <v>5</v>
      </c>
      <c r="D60" s="1">
        <v>120</v>
      </c>
      <c r="E60" s="1">
        <v>4</v>
      </c>
      <c r="F60" s="1">
        <v>2</v>
      </c>
      <c r="G60" s="1" t="s">
        <v>176</v>
      </c>
      <c r="H60" s="5">
        <v>45902</v>
      </c>
      <c r="I60" s="1" t="s">
        <v>66</v>
      </c>
      <c r="J60" s="1">
        <v>19</v>
      </c>
      <c r="K60" s="1">
        <v>4.95</v>
      </c>
      <c r="L60" s="1">
        <v>94.05</v>
      </c>
    </row>
    <row r="61" spans="1:12" x14ac:dyDescent="0.35">
      <c r="A61" s="1" t="s">
        <v>226</v>
      </c>
      <c r="B61" s="5">
        <v>45654</v>
      </c>
      <c r="C61" s="1" t="s">
        <v>46</v>
      </c>
      <c r="D61" s="1">
        <v>90</v>
      </c>
      <c r="E61" s="1">
        <v>10.5</v>
      </c>
      <c r="F61" s="1">
        <v>5</v>
      </c>
      <c r="G61" s="1" t="s">
        <v>177</v>
      </c>
      <c r="H61" s="5">
        <v>45906</v>
      </c>
      <c r="I61" s="1" t="s">
        <v>38</v>
      </c>
      <c r="J61" s="1">
        <v>26</v>
      </c>
      <c r="K61" s="1">
        <v>3</v>
      </c>
      <c r="L61" s="1">
        <v>78</v>
      </c>
    </row>
    <row r="62" spans="1:12" x14ac:dyDescent="0.35">
      <c r="A62" s="1" t="s">
        <v>227</v>
      </c>
      <c r="B62" s="5">
        <v>45677</v>
      </c>
      <c r="C62" s="1" t="s">
        <v>35</v>
      </c>
      <c r="D62" s="1">
        <v>120</v>
      </c>
      <c r="E62" s="1">
        <v>6</v>
      </c>
      <c r="F62" s="1">
        <v>4</v>
      </c>
      <c r="G62" s="1" t="s">
        <v>178</v>
      </c>
      <c r="H62" s="5">
        <v>45910</v>
      </c>
      <c r="I62" s="1" t="s">
        <v>35</v>
      </c>
      <c r="J62" s="1">
        <v>12</v>
      </c>
      <c r="K62" s="1">
        <v>9.5</v>
      </c>
      <c r="L62" s="1">
        <v>114</v>
      </c>
    </row>
    <row r="63" spans="1:12" x14ac:dyDescent="0.35">
      <c r="A63" s="1" t="s">
        <v>228</v>
      </c>
      <c r="B63" s="5">
        <v>45693</v>
      </c>
      <c r="C63" s="1" t="s">
        <v>66</v>
      </c>
      <c r="D63" s="1">
        <v>220</v>
      </c>
      <c r="E63" s="1">
        <v>3.2</v>
      </c>
      <c r="F63" s="1">
        <v>2</v>
      </c>
      <c r="G63" s="1" t="s">
        <v>179</v>
      </c>
      <c r="H63" s="5">
        <v>45914</v>
      </c>
      <c r="I63" s="1" t="s">
        <v>46</v>
      </c>
      <c r="J63" s="1">
        <v>10</v>
      </c>
      <c r="K63" s="1">
        <v>14.95</v>
      </c>
      <c r="L63" s="1">
        <v>149.5</v>
      </c>
    </row>
    <row r="64" spans="1:12" x14ac:dyDescent="0.35">
      <c r="A64" s="1" t="s">
        <v>229</v>
      </c>
      <c r="B64" s="5">
        <v>45693</v>
      </c>
      <c r="C64" s="1" t="s">
        <v>38</v>
      </c>
      <c r="D64" s="1">
        <v>200</v>
      </c>
      <c r="E64" s="1">
        <v>1.8</v>
      </c>
      <c r="F64" s="1">
        <v>3</v>
      </c>
      <c r="G64" s="1" t="s">
        <v>180</v>
      </c>
      <c r="H64" s="5">
        <v>45918</v>
      </c>
      <c r="I64" s="1" t="s">
        <v>63</v>
      </c>
      <c r="J64" s="1">
        <v>15</v>
      </c>
      <c r="K64" s="1">
        <v>7.95</v>
      </c>
      <c r="L64" s="1">
        <v>119.25</v>
      </c>
    </row>
    <row r="65" spans="1:12" x14ac:dyDescent="0.35">
      <c r="A65" s="1" t="s">
        <v>230</v>
      </c>
      <c r="B65" s="5">
        <v>45693</v>
      </c>
      <c r="C65" s="1" t="s">
        <v>20</v>
      </c>
      <c r="D65" s="1">
        <v>350</v>
      </c>
      <c r="E65" s="1">
        <v>1.1000000000000001</v>
      </c>
      <c r="F65" s="1">
        <v>3</v>
      </c>
      <c r="G65" s="1" t="s">
        <v>181</v>
      </c>
      <c r="H65" s="5">
        <v>45921</v>
      </c>
      <c r="I65" s="1" t="s">
        <v>5</v>
      </c>
      <c r="J65" s="1">
        <v>14</v>
      </c>
      <c r="K65" s="1">
        <v>5.75</v>
      </c>
      <c r="L65" s="1">
        <v>80.5</v>
      </c>
    </row>
    <row r="66" spans="1:12" x14ac:dyDescent="0.35">
      <c r="A66" s="1" t="s">
        <v>231</v>
      </c>
      <c r="B66" s="5">
        <v>45717</v>
      </c>
      <c r="C66" s="1" t="s">
        <v>46</v>
      </c>
      <c r="D66" s="1">
        <v>100</v>
      </c>
      <c r="E66" s="1">
        <v>10.5</v>
      </c>
      <c r="F66" s="1">
        <v>5</v>
      </c>
      <c r="G66" s="1" t="s">
        <v>182</v>
      </c>
      <c r="H66" s="5">
        <v>45925</v>
      </c>
      <c r="I66" s="1" t="s">
        <v>20</v>
      </c>
      <c r="J66" s="1">
        <v>34</v>
      </c>
      <c r="K66" s="1">
        <v>2</v>
      </c>
      <c r="L66" s="1">
        <v>68</v>
      </c>
    </row>
    <row r="67" spans="1:12" x14ac:dyDescent="0.35">
      <c r="A67" s="1" t="s">
        <v>232</v>
      </c>
      <c r="B67" s="5">
        <v>45717</v>
      </c>
      <c r="C67" s="1" t="s">
        <v>78</v>
      </c>
      <c r="D67" s="1">
        <v>80</v>
      </c>
      <c r="E67" s="1">
        <v>11</v>
      </c>
      <c r="F67" s="1">
        <v>6</v>
      </c>
      <c r="G67" s="1" t="s">
        <v>183</v>
      </c>
      <c r="H67" s="5">
        <v>45929</v>
      </c>
      <c r="I67" s="1" t="s">
        <v>48</v>
      </c>
      <c r="J67" s="1">
        <v>12</v>
      </c>
      <c r="K67" s="1">
        <v>4.75</v>
      </c>
      <c r="L67" s="1">
        <v>57</v>
      </c>
    </row>
    <row r="68" spans="1:12" x14ac:dyDescent="0.35">
      <c r="A68" s="1" t="s">
        <v>233</v>
      </c>
      <c r="B68" s="5">
        <v>45757</v>
      </c>
      <c r="C68" s="1" t="s">
        <v>66</v>
      </c>
      <c r="D68" s="1">
        <v>200</v>
      </c>
      <c r="E68" s="1">
        <v>3.2</v>
      </c>
      <c r="F68" s="1">
        <v>2</v>
      </c>
      <c r="G68" s="1" t="s">
        <v>184</v>
      </c>
      <c r="H68" s="5">
        <v>45933</v>
      </c>
      <c r="I68" s="1" t="s">
        <v>66</v>
      </c>
      <c r="J68" s="1">
        <v>18</v>
      </c>
      <c r="K68" s="1">
        <v>4.95</v>
      </c>
      <c r="L68" s="1">
        <v>89.1</v>
      </c>
    </row>
    <row r="69" spans="1:12" x14ac:dyDescent="0.35">
      <c r="A69" s="1" t="s">
        <v>234</v>
      </c>
      <c r="B69" s="5">
        <v>45757</v>
      </c>
      <c r="C69" s="1" t="s">
        <v>38</v>
      </c>
      <c r="D69" s="1">
        <v>180</v>
      </c>
      <c r="E69" s="1">
        <v>1.8</v>
      </c>
      <c r="F69" s="1">
        <v>3</v>
      </c>
      <c r="G69" s="1" t="s">
        <v>185</v>
      </c>
      <c r="H69" s="5">
        <v>45937</v>
      </c>
      <c r="I69" s="1" t="s">
        <v>38</v>
      </c>
      <c r="J69" s="1">
        <v>24</v>
      </c>
      <c r="K69" s="1">
        <v>3</v>
      </c>
      <c r="L69" s="1">
        <v>72</v>
      </c>
    </row>
    <row r="70" spans="1:12" x14ac:dyDescent="0.35">
      <c r="A70" s="1" t="s">
        <v>235</v>
      </c>
      <c r="B70" s="5">
        <v>45778</v>
      </c>
      <c r="C70" s="1" t="s">
        <v>20</v>
      </c>
      <c r="D70" s="1">
        <v>320</v>
      </c>
      <c r="E70" s="1">
        <v>1.1000000000000001</v>
      </c>
      <c r="F70" s="1">
        <v>3</v>
      </c>
      <c r="G70" s="1" t="s">
        <v>186</v>
      </c>
      <c r="H70" s="5">
        <v>45940</v>
      </c>
      <c r="I70" s="1" t="s">
        <v>35</v>
      </c>
      <c r="J70" s="1">
        <v>14</v>
      </c>
      <c r="K70" s="1">
        <v>9.5</v>
      </c>
      <c r="L70" s="1">
        <v>133</v>
      </c>
    </row>
    <row r="71" spans="1:12" x14ac:dyDescent="0.35">
      <c r="A71" s="1" t="s">
        <v>236</v>
      </c>
      <c r="B71" s="5">
        <v>45823</v>
      </c>
      <c r="C71" s="1" t="s">
        <v>35</v>
      </c>
      <c r="D71" s="1">
        <v>140</v>
      </c>
      <c r="E71" s="1">
        <v>6</v>
      </c>
      <c r="F71" s="1">
        <v>4</v>
      </c>
      <c r="G71" s="1" t="s">
        <v>187</v>
      </c>
      <c r="H71" s="5">
        <v>45944</v>
      </c>
      <c r="I71" s="1" t="s">
        <v>78</v>
      </c>
      <c r="J71" s="1">
        <v>11</v>
      </c>
      <c r="K71" s="1">
        <v>15.95</v>
      </c>
      <c r="L71" s="1">
        <v>175.45</v>
      </c>
    </row>
    <row r="72" spans="1:12" x14ac:dyDescent="0.35">
      <c r="A72" s="1" t="s">
        <v>237</v>
      </c>
      <c r="B72" s="5">
        <v>45839</v>
      </c>
      <c r="C72" s="1" t="s">
        <v>46</v>
      </c>
      <c r="D72" s="1">
        <v>120</v>
      </c>
      <c r="E72" s="1">
        <v>10.5</v>
      </c>
      <c r="F72" s="1">
        <v>5</v>
      </c>
      <c r="G72" s="1" t="s">
        <v>188</v>
      </c>
      <c r="H72" s="5">
        <v>45948</v>
      </c>
      <c r="I72" s="1" t="s">
        <v>63</v>
      </c>
      <c r="J72" s="1">
        <v>13</v>
      </c>
      <c r="K72" s="1">
        <v>7.95</v>
      </c>
      <c r="L72" s="1">
        <v>103.35</v>
      </c>
    </row>
    <row r="73" spans="1:12" x14ac:dyDescent="0.35">
      <c r="A73" s="1" t="s">
        <v>238</v>
      </c>
      <c r="B73" s="5">
        <v>45870</v>
      </c>
      <c r="C73" s="1" t="s">
        <v>78</v>
      </c>
      <c r="D73" s="1">
        <v>90</v>
      </c>
      <c r="E73" s="1">
        <v>11</v>
      </c>
      <c r="F73" s="1">
        <v>6</v>
      </c>
      <c r="G73" s="1" t="s">
        <v>189</v>
      </c>
      <c r="H73" s="5">
        <v>45951</v>
      </c>
      <c r="I73" s="1" t="s">
        <v>5</v>
      </c>
      <c r="J73" s="1">
        <v>12</v>
      </c>
      <c r="K73" s="1">
        <v>5.75</v>
      </c>
      <c r="L73" s="1">
        <v>69</v>
      </c>
    </row>
    <row r="74" spans="1:12" x14ac:dyDescent="0.35">
      <c r="A74" s="1" t="s">
        <v>239</v>
      </c>
      <c r="B74" s="5">
        <v>45901</v>
      </c>
      <c r="C74" s="1" t="s">
        <v>66</v>
      </c>
      <c r="D74" s="1">
        <v>210</v>
      </c>
      <c r="E74" s="1">
        <v>3.2</v>
      </c>
      <c r="F74" s="1">
        <v>2</v>
      </c>
      <c r="G74" s="1" t="s">
        <v>190</v>
      </c>
      <c r="H74" s="5">
        <v>45955</v>
      </c>
      <c r="I74" s="1" t="s">
        <v>20</v>
      </c>
      <c r="J74" s="1">
        <v>32</v>
      </c>
      <c r="K74" s="1">
        <v>2</v>
      </c>
      <c r="L74" s="1">
        <v>64</v>
      </c>
    </row>
    <row r="75" spans="1:12" x14ac:dyDescent="0.35">
      <c r="A75" s="1" t="s">
        <v>240</v>
      </c>
      <c r="B75" s="5">
        <v>45935</v>
      </c>
      <c r="C75" s="1" t="s">
        <v>38</v>
      </c>
      <c r="D75" s="1">
        <v>200</v>
      </c>
      <c r="E75" s="1">
        <v>1.8</v>
      </c>
      <c r="F75" s="1">
        <v>3</v>
      </c>
      <c r="G75" s="1" t="s">
        <v>191</v>
      </c>
      <c r="H75" s="5">
        <v>45959</v>
      </c>
      <c r="I75" s="1" t="s">
        <v>48</v>
      </c>
      <c r="J75" s="1">
        <v>11</v>
      </c>
      <c r="K75" s="1">
        <v>4.75</v>
      </c>
      <c r="L75" s="1">
        <v>52.25</v>
      </c>
    </row>
    <row r="76" spans="1:12" x14ac:dyDescent="0.35">
      <c r="A76" s="1" t="s">
        <v>241</v>
      </c>
      <c r="B76" s="5">
        <v>45971</v>
      </c>
      <c r="C76" s="1" t="s">
        <v>20</v>
      </c>
      <c r="D76" s="1">
        <v>350</v>
      </c>
      <c r="E76" s="1">
        <v>1.1000000000000001</v>
      </c>
      <c r="F76" s="1">
        <v>3</v>
      </c>
      <c r="G76" s="1" t="s">
        <v>192</v>
      </c>
      <c r="H76" s="5">
        <v>45963</v>
      </c>
      <c r="I76" s="1" t="s">
        <v>66</v>
      </c>
      <c r="J76" s="1">
        <v>21</v>
      </c>
      <c r="K76" s="1">
        <v>4.95</v>
      </c>
      <c r="L76" s="1">
        <v>103.95</v>
      </c>
    </row>
    <row r="77" spans="1:12" x14ac:dyDescent="0.35">
      <c r="A77" s="1" t="s">
        <v>242</v>
      </c>
      <c r="B77" s="5">
        <v>45672</v>
      </c>
      <c r="C77" s="1" t="s">
        <v>63</v>
      </c>
      <c r="D77" s="1">
        <v>150</v>
      </c>
      <c r="E77" s="1">
        <v>5.5</v>
      </c>
      <c r="F77" s="1">
        <v>2</v>
      </c>
      <c r="G77" s="1" t="s">
        <v>193</v>
      </c>
      <c r="H77" s="5">
        <v>45967</v>
      </c>
      <c r="I77" s="1" t="s">
        <v>38</v>
      </c>
      <c r="J77" s="1">
        <v>23</v>
      </c>
      <c r="K77" s="1">
        <v>3</v>
      </c>
      <c r="L77" s="1">
        <v>69</v>
      </c>
    </row>
    <row r="78" spans="1:12" x14ac:dyDescent="0.35">
      <c r="A78" s="1" t="s">
        <v>243</v>
      </c>
      <c r="B78" s="5">
        <v>45675</v>
      </c>
      <c r="C78" s="1" t="s">
        <v>78</v>
      </c>
      <c r="D78" s="1">
        <v>70</v>
      </c>
      <c r="E78" s="1">
        <v>11</v>
      </c>
      <c r="F78" s="1">
        <v>6</v>
      </c>
      <c r="G78" s="1" t="s">
        <v>194</v>
      </c>
      <c r="H78" s="5">
        <v>45970</v>
      </c>
      <c r="I78" s="1" t="s">
        <v>35</v>
      </c>
      <c r="J78" s="1">
        <v>13</v>
      </c>
      <c r="K78" s="1">
        <v>9.5</v>
      </c>
      <c r="L78" s="1">
        <v>123.5</v>
      </c>
    </row>
    <row r="79" spans="1:12" x14ac:dyDescent="0.35">
      <c r="A79" s="1" t="s">
        <v>244</v>
      </c>
      <c r="B79" s="5">
        <v>45698</v>
      </c>
      <c r="C79" s="1" t="s">
        <v>35</v>
      </c>
      <c r="D79" s="1">
        <v>130</v>
      </c>
      <c r="E79" s="1">
        <v>6</v>
      </c>
      <c r="F79" s="1">
        <v>4</v>
      </c>
      <c r="G79" s="1" t="s">
        <v>195</v>
      </c>
      <c r="H79" s="5">
        <v>45974</v>
      </c>
      <c r="I79" s="1" t="s">
        <v>46</v>
      </c>
      <c r="J79" s="1">
        <v>11</v>
      </c>
      <c r="K79" s="1">
        <v>14.95</v>
      </c>
      <c r="L79" s="1">
        <v>164.45</v>
      </c>
    </row>
    <row r="80" spans="1:12" x14ac:dyDescent="0.35">
      <c r="A80" s="1" t="s">
        <v>245</v>
      </c>
      <c r="B80" s="5">
        <v>45700</v>
      </c>
      <c r="C80" s="1" t="s">
        <v>46</v>
      </c>
      <c r="D80" s="1">
        <v>85</v>
      </c>
      <c r="E80" s="1">
        <v>10.5</v>
      </c>
      <c r="F80" s="1">
        <v>5</v>
      </c>
      <c r="G80" s="1" t="s">
        <v>196</v>
      </c>
      <c r="H80" s="5">
        <v>45978</v>
      </c>
      <c r="I80" s="1" t="s">
        <v>78</v>
      </c>
      <c r="J80" s="1">
        <v>12</v>
      </c>
      <c r="K80" s="1">
        <v>15.95</v>
      </c>
      <c r="L80" s="1">
        <v>191.4</v>
      </c>
    </row>
    <row r="81" spans="1:12" x14ac:dyDescent="0.35">
      <c r="A81" s="1" t="s">
        <v>246</v>
      </c>
      <c r="B81" s="5">
        <v>45731</v>
      </c>
      <c r="C81" s="1" t="s">
        <v>5</v>
      </c>
      <c r="D81" s="1">
        <v>110</v>
      </c>
      <c r="E81" s="1">
        <v>4</v>
      </c>
      <c r="F81" s="1">
        <v>2</v>
      </c>
      <c r="G81" s="1" t="s">
        <v>197</v>
      </c>
      <c r="H81" s="5">
        <v>45982</v>
      </c>
      <c r="I81" s="1" t="s">
        <v>63</v>
      </c>
      <c r="J81" s="1">
        <v>14</v>
      </c>
      <c r="K81" s="1">
        <v>7.95</v>
      </c>
      <c r="L81" s="1">
        <v>111.3</v>
      </c>
    </row>
    <row r="82" spans="1:12" x14ac:dyDescent="0.35">
      <c r="A82" s="1" t="s">
        <v>247</v>
      </c>
      <c r="B82" s="5">
        <v>45736</v>
      </c>
      <c r="C82" s="1" t="s">
        <v>63</v>
      </c>
      <c r="D82" s="1">
        <v>170</v>
      </c>
      <c r="E82" s="1">
        <v>5.5</v>
      </c>
      <c r="F82" s="1">
        <v>2</v>
      </c>
      <c r="G82" s="1" t="s">
        <v>198</v>
      </c>
      <c r="H82" s="5">
        <v>45986</v>
      </c>
      <c r="I82" s="1" t="s">
        <v>20</v>
      </c>
      <c r="J82" s="1">
        <v>36</v>
      </c>
      <c r="K82" s="1">
        <v>2</v>
      </c>
      <c r="L82" s="1">
        <v>72</v>
      </c>
    </row>
    <row r="83" spans="1:12" x14ac:dyDescent="0.35">
      <c r="A83" s="1" t="s">
        <v>248</v>
      </c>
      <c r="B83" s="5">
        <v>45749</v>
      </c>
      <c r="C83" s="1" t="s">
        <v>66</v>
      </c>
      <c r="D83" s="1">
        <v>200</v>
      </c>
      <c r="E83" s="1">
        <v>3.2</v>
      </c>
      <c r="F83" s="1">
        <v>2</v>
      </c>
      <c r="G83" s="1" t="s">
        <v>199</v>
      </c>
      <c r="H83" s="5">
        <v>45989</v>
      </c>
      <c r="I83" s="1" t="s">
        <v>5</v>
      </c>
      <c r="J83" s="1">
        <v>13</v>
      </c>
      <c r="K83" s="1">
        <v>5.75</v>
      </c>
      <c r="L83" s="1">
        <v>74.75</v>
      </c>
    </row>
    <row r="84" spans="1:12" x14ac:dyDescent="0.35">
      <c r="A84" s="1" t="s">
        <v>249</v>
      </c>
      <c r="B84" s="5">
        <v>45762</v>
      </c>
      <c r="C84" s="1" t="s">
        <v>38</v>
      </c>
      <c r="D84" s="1">
        <v>190</v>
      </c>
      <c r="E84" s="1">
        <v>1.8</v>
      </c>
      <c r="F84" s="1">
        <v>3</v>
      </c>
      <c r="G84" s="1" t="s">
        <v>200</v>
      </c>
      <c r="H84" s="5">
        <v>45993</v>
      </c>
      <c r="I84" s="1" t="s">
        <v>66</v>
      </c>
      <c r="J84" s="1">
        <v>24</v>
      </c>
      <c r="K84" s="1">
        <v>4.95</v>
      </c>
      <c r="L84" s="1">
        <v>118.8</v>
      </c>
    </row>
    <row r="85" spans="1:12" x14ac:dyDescent="0.35">
      <c r="A85" s="1" t="s">
        <v>250</v>
      </c>
      <c r="B85" s="5">
        <v>45782</v>
      </c>
      <c r="C85" s="1" t="s">
        <v>20</v>
      </c>
      <c r="D85" s="1">
        <v>300</v>
      </c>
      <c r="E85" s="1">
        <v>1.1000000000000001</v>
      </c>
      <c r="F85" s="1">
        <v>3</v>
      </c>
      <c r="G85" s="1" t="s">
        <v>201</v>
      </c>
      <c r="H85" s="5">
        <v>45996</v>
      </c>
      <c r="I85" s="1" t="s">
        <v>38</v>
      </c>
      <c r="J85" s="1">
        <v>28</v>
      </c>
      <c r="K85" s="1">
        <v>3</v>
      </c>
      <c r="L85" s="1">
        <v>84</v>
      </c>
    </row>
    <row r="86" spans="1:12" x14ac:dyDescent="0.35">
      <c r="A86" s="1" t="s">
        <v>251</v>
      </c>
      <c r="B86" s="5">
        <v>45792</v>
      </c>
      <c r="C86" s="1" t="s">
        <v>48</v>
      </c>
      <c r="D86" s="1">
        <v>120</v>
      </c>
      <c r="E86" s="1">
        <v>3.2</v>
      </c>
      <c r="F86" s="1">
        <v>4</v>
      </c>
      <c r="G86" s="1" t="s">
        <v>202</v>
      </c>
      <c r="H86" s="5">
        <v>45999</v>
      </c>
      <c r="I86" s="1" t="s">
        <v>35</v>
      </c>
      <c r="J86" s="1">
        <v>16</v>
      </c>
      <c r="K86" s="1">
        <v>9.5</v>
      </c>
      <c r="L86" s="1">
        <v>152</v>
      </c>
    </row>
    <row r="87" spans="1:12" x14ac:dyDescent="0.35">
      <c r="A87" s="1" t="s">
        <v>252</v>
      </c>
      <c r="B87" s="5">
        <v>45818</v>
      </c>
      <c r="C87" s="1" t="s">
        <v>35</v>
      </c>
      <c r="D87" s="1">
        <v>140</v>
      </c>
      <c r="E87" s="1">
        <v>6</v>
      </c>
      <c r="F87" s="1">
        <v>4</v>
      </c>
      <c r="G87" s="1" t="s">
        <v>203</v>
      </c>
      <c r="H87" s="5">
        <v>46002</v>
      </c>
      <c r="I87" s="1" t="s">
        <v>48</v>
      </c>
      <c r="J87" s="1">
        <v>15</v>
      </c>
      <c r="K87" s="1">
        <v>4.75</v>
      </c>
      <c r="L87" s="1">
        <v>71.25</v>
      </c>
    </row>
    <row r="88" spans="1:12" x14ac:dyDescent="0.35">
      <c r="A88" s="1" t="s">
        <v>253</v>
      </c>
      <c r="B88" s="5">
        <v>45826</v>
      </c>
      <c r="C88" s="1" t="s">
        <v>46</v>
      </c>
      <c r="D88" s="1">
        <v>95</v>
      </c>
      <c r="E88" s="1">
        <v>10.5</v>
      </c>
      <c r="F88" s="1">
        <v>5</v>
      </c>
      <c r="G88" s="1" t="s">
        <v>204</v>
      </c>
      <c r="H88" s="5">
        <v>46005</v>
      </c>
      <c r="I88" s="1" t="s">
        <v>46</v>
      </c>
      <c r="J88" s="1">
        <v>12</v>
      </c>
      <c r="K88" s="1">
        <v>14.95</v>
      </c>
      <c r="L88" s="1">
        <v>179.4</v>
      </c>
    </row>
    <row r="89" spans="1:12" x14ac:dyDescent="0.35">
      <c r="A89" s="1" t="s">
        <v>254</v>
      </c>
      <c r="B89" s="5">
        <v>45843</v>
      </c>
      <c r="C89" s="1" t="s">
        <v>78</v>
      </c>
      <c r="D89" s="1">
        <v>85</v>
      </c>
      <c r="E89" s="1">
        <v>11</v>
      </c>
      <c r="F89" s="1">
        <v>6</v>
      </c>
      <c r="G89" s="1" t="s">
        <v>205</v>
      </c>
      <c r="H89" s="5">
        <v>46008</v>
      </c>
      <c r="I89" s="1" t="s">
        <v>78</v>
      </c>
      <c r="J89" s="1">
        <v>14</v>
      </c>
      <c r="K89" s="1">
        <v>15.95</v>
      </c>
      <c r="L89" s="1">
        <v>223.3</v>
      </c>
    </row>
    <row r="90" spans="1:12" x14ac:dyDescent="0.35">
      <c r="A90" s="1" t="s">
        <v>255</v>
      </c>
      <c r="B90" s="5">
        <v>45850</v>
      </c>
      <c r="C90" s="1" t="s">
        <v>63</v>
      </c>
      <c r="D90" s="1">
        <v>160</v>
      </c>
      <c r="E90" s="1">
        <v>5.5</v>
      </c>
      <c r="F90" s="1">
        <v>2</v>
      </c>
      <c r="G90" s="1" t="s">
        <v>206</v>
      </c>
      <c r="H90" s="5">
        <v>46010</v>
      </c>
      <c r="I90" s="1" t="s">
        <v>63</v>
      </c>
      <c r="J90" s="1">
        <v>18</v>
      </c>
      <c r="K90" s="1">
        <v>7.95</v>
      </c>
      <c r="L90" s="1">
        <v>143.1</v>
      </c>
    </row>
    <row r="91" spans="1:12" x14ac:dyDescent="0.35">
      <c r="A91" s="1" t="s">
        <v>256</v>
      </c>
      <c r="B91" s="5">
        <v>45870</v>
      </c>
      <c r="C91" s="1" t="s">
        <v>66</v>
      </c>
      <c r="D91" s="1">
        <v>210</v>
      </c>
      <c r="E91" s="1">
        <v>3.2</v>
      </c>
      <c r="F91" s="1">
        <v>2</v>
      </c>
      <c r="G91" s="1" t="s">
        <v>207</v>
      </c>
      <c r="H91" s="5">
        <v>46012</v>
      </c>
      <c r="I91" s="1" t="s">
        <v>5</v>
      </c>
      <c r="J91" s="1">
        <v>16</v>
      </c>
      <c r="K91" s="1">
        <v>5.75</v>
      </c>
      <c r="L91" s="1">
        <v>92</v>
      </c>
    </row>
    <row r="92" spans="1:12" x14ac:dyDescent="0.35">
      <c r="A92" s="1" t="s">
        <v>257</v>
      </c>
      <c r="B92" s="5">
        <v>45879</v>
      </c>
      <c r="C92" s="1" t="s">
        <v>38</v>
      </c>
      <c r="D92" s="1">
        <v>180</v>
      </c>
      <c r="E92" s="1">
        <v>1.8</v>
      </c>
      <c r="F92" s="1">
        <v>3</v>
      </c>
      <c r="G92" s="1" t="s">
        <v>208</v>
      </c>
      <c r="H92" s="5">
        <v>46014</v>
      </c>
      <c r="I92" s="1" t="s">
        <v>20</v>
      </c>
      <c r="J92" s="1">
        <v>42</v>
      </c>
      <c r="K92" s="1">
        <v>2</v>
      </c>
      <c r="L92" s="1">
        <v>84</v>
      </c>
    </row>
    <row r="93" spans="1:12" x14ac:dyDescent="0.35">
      <c r="A93" s="1" t="s">
        <v>258</v>
      </c>
      <c r="B93" s="5">
        <v>45915</v>
      </c>
      <c r="C93" s="1" t="s">
        <v>35</v>
      </c>
      <c r="D93" s="1">
        <v>150</v>
      </c>
      <c r="E93" s="1">
        <v>6</v>
      </c>
      <c r="F93" s="1">
        <v>4</v>
      </c>
      <c r="G93" s="1" t="s">
        <v>209</v>
      </c>
      <c r="H93" s="5">
        <v>46015</v>
      </c>
      <c r="I93" s="1" t="s">
        <v>38</v>
      </c>
      <c r="J93" s="1">
        <v>30</v>
      </c>
      <c r="K93" s="1">
        <v>3</v>
      </c>
      <c r="L93" s="1">
        <v>90</v>
      </c>
    </row>
    <row r="94" spans="1:12" x14ac:dyDescent="0.35">
      <c r="A94" s="1" t="s">
        <v>259</v>
      </c>
      <c r="B94" s="5">
        <v>45935</v>
      </c>
      <c r="C94" s="1" t="s">
        <v>46</v>
      </c>
      <c r="D94" s="1">
        <v>100</v>
      </c>
      <c r="E94" s="1">
        <v>10.5</v>
      </c>
      <c r="F94" s="1">
        <v>5</v>
      </c>
      <c r="G94" s="1" t="s">
        <v>210</v>
      </c>
      <c r="H94" s="5">
        <v>46017</v>
      </c>
      <c r="I94" s="1" t="s">
        <v>35</v>
      </c>
      <c r="J94" s="1">
        <v>18</v>
      </c>
      <c r="K94" s="1">
        <v>9.5</v>
      </c>
      <c r="L94" s="1">
        <v>171</v>
      </c>
    </row>
    <row r="95" spans="1:12" x14ac:dyDescent="0.35">
      <c r="A95" s="1" t="s">
        <v>260</v>
      </c>
      <c r="B95" s="5">
        <v>45962</v>
      </c>
      <c r="C95" s="1" t="s">
        <v>20</v>
      </c>
      <c r="D95" s="1">
        <v>320</v>
      </c>
      <c r="E95" s="1">
        <v>1.1000000000000001</v>
      </c>
      <c r="F95" s="1">
        <v>3</v>
      </c>
      <c r="G95" s="1" t="s">
        <v>211</v>
      </c>
      <c r="H95" s="5">
        <v>46018</v>
      </c>
      <c r="I95" s="1" t="s">
        <v>66</v>
      </c>
      <c r="J95" s="1">
        <v>25</v>
      </c>
      <c r="K95" s="1">
        <v>4.95</v>
      </c>
      <c r="L95" s="1">
        <v>123.75</v>
      </c>
    </row>
    <row r="96" spans="1:12" x14ac:dyDescent="0.35">
      <c r="A96" s="1" t="s">
        <v>261</v>
      </c>
      <c r="B96" s="5">
        <v>45981</v>
      </c>
      <c r="C96" s="1" t="s">
        <v>78</v>
      </c>
      <c r="D96" s="1">
        <v>90</v>
      </c>
      <c r="E96" s="1">
        <v>11</v>
      </c>
      <c r="F96" s="1">
        <v>6</v>
      </c>
      <c r="G96" s="1" t="s">
        <v>212</v>
      </c>
      <c r="H96" s="5">
        <v>46019</v>
      </c>
      <c r="I96" s="1" t="s">
        <v>46</v>
      </c>
      <c r="J96" s="1">
        <v>13</v>
      </c>
      <c r="K96" s="1">
        <v>14.95</v>
      </c>
      <c r="L96" s="1">
        <v>194.35</v>
      </c>
    </row>
    <row r="97" spans="7:12" x14ac:dyDescent="0.35">
      <c r="G97" s="1" t="s">
        <v>213</v>
      </c>
      <c r="H97" s="5">
        <v>46020</v>
      </c>
      <c r="I97" s="1" t="s">
        <v>63</v>
      </c>
      <c r="J97" s="1">
        <v>20</v>
      </c>
      <c r="K97" s="1">
        <v>7.95</v>
      </c>
      <c r="L97" s="1">
        <v>159</v>
      </c>
    </row>
    <row r="98" spans="7:12" x14ac:dyDescent="0.35">
      <c r="G98" s="1" t="s">
        <v>214</v>
      </c>
      <c r="H98" s="5">
        <v>46021</v>
      </c>
      <c r="I98" s="1" t="s">
        <v>5</v>
      </c>
      <c r="J98" s="1">
        <v>18</v>
      </c>
      <c r="K98" s="1">
        <v>5.75</v>
      </c>
      <c r="L98" s="1">
        <v>103.5</v>
      </c>
    </row>
    <row r="99" spans="7:12" x14ac:dyDescent="0.35">
      <c r="G99" s="1" t="s">
        <v>215</v>
      </c>
      <c r="H99" s="5">
        <v>46021</v>
      </c>
      <c r="I99" s="1" t="s">
        <v>48</v>
      </c>
      <c r="J99" s="1">
        <v>17</v>
      </c>
      <c r="K99" s="1">
        <v>4.75</v>
      </c>
      <c r="L99" s="1">
        <v>80.75</v>
      </c>
    </row>
    <row r="100" spans="7:12" x14ac:dyDescent="0.35">
      <c r="G100" s="1" t="s">
        <v>216</v>
      </c>
      <c r="H100" s="5">
        <v>46022</v>
      </c>
      <c r="I100" s="1" t="s">
        <v>78</v>
      </c>
      <c r="J100" s="1">
        <v>15</v>
      </c>
      <c r="K100" s="1">
        <v>15.95</v>
      </c>
      <c r="L100" s="1">
        <v>239.25</v>
      </c>
    </row>
    <row r="101" spans="7:12" x14ac:dyDescent="0.35">
      <c r="G101" s="1" t="s">
        <v>217</v>
      </c>
      <c r="H101" s="5">
        <v>46022</v>
      </c>
      <c r="I101" s="1" t="s">
        <v>20</v>
      </c>
      <c r="J101" s="1">
        <v>45</v>
      </c>
      <c r="K101" s="1">
        <v>2</v>
      </c>
      <c r="L101" s="1">
        <v>90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opLeftCell="C1" workbookViewId="0">
      <selection activeCell="J3" sqref="J3"/>
    </sheetView>
  </sheetViews>
  <sheetFormatPr defaultRowHeight="14.5" x14ac:dyDescent="0.35"/>
  <cols>
    <col min="1" max="1" width="8.36328125" bestFit="1" customWidth="1"/>
    <col min="2" max="2" width="13" bestFit="1" customWidth="1"/>
    <col min="3" max="3" width="12.54296875" bestFit="1" customWidth="1"/>
    <col min="4" max="4" width="18.54296875" bestFit="1" customWidth="1"/>
    <col min="5" max="5" width="11.90625" bestFit="1" customWidth="1"/>
    <col min="6" max="6" width="11.08984375" bestFit="1" customWidth="1"/>
    <col min="7" max="7" width="20.1796875" bestFit="1" customWidth="1"/>
    <col min="8" max="8" width="13" bestFit="1" customWidth="1"/>
    <col min="9" max="9" width="12.54296875" bestFit="1" customWidth="1"/>
    <col min="10" max="10" width="19.7265625" customWidth="1"/>
    <col min="11" max="11" width="11.90625" bestFit="1" customWidth="1"/>
    <col min="12" max="12" width="11.08984375" bestFit="1" customWidth="1"/>
  </cols>
  <sheetData>
    <row r="1" spans="1:11" ht="15" thickBot="1" x14ac:dyDescent="0.4">
      <c r="A1" s="10" t="s">
        <v>218</v>
      </c>
      <c r="B1" s="7" t="s">
        <v>219</v>
      </c>
      <c r="C1" s="10" t="s">
        <v>0</v>
      </c>
      <c r="D1" s="10" t="s">
        <v>220</v>
      </c>
      <c r="E1" s="10" t="s">
        <v>3</v>
      </c>
      <c r="F1" s="9" t="s">
        <v>221</v>
      </c>
      <c r="G1" s="9" t="s">
        <v>268</v>
      </c>
    </row>
    <row r="2" spans="1:11" ht="15" thickBot="1" x14ac:dyDescent="0.4">
      <c r="A2" s="10" t="s">
        <v>222</v>
      </c>
      <c r="B2" s="7">
        <v>45654</v>
      </c>
      <c r="C2" s="10" t="s">
        <v>66</v>
      </c>
      <c r="D2" s="10">
        <v>200</v>
      </c>
      <c r="E2" s="10">
        <v>3.2</v>
      </c>
      <c r="F2" s="9">
        <v>2</v>
      </c>
      <c r="G2" s="9">
        <v>640</v>
      </c>
      <c r="J2" s="11" t="s">
        <v>282</v>
      </c>
      <c r="K2" s="12">
        <f>SUM(Purchase[Total_Purchase_Cos])</f>
        <v>26920</v>
      </c>
    </row>
    <row r="3" spans="1:11" ht="15" thickBot="1" x14ac:dyDescent="0.4">
      <c r="A3" s="10" t="s">
        <v>223</v>
      </c>
      <c r="B3" s="7">
        <v>45654</v>
      </c>
      <c r="C3" s="10" t="s">
        <v>20</v>
      </c>
      <c r="D3" s="10">
        <v>300</v>
      </c>
      <c r="E3" s="10">
        <v>1.1000000000000001</v>
      </c>
      <c r="F3" s="9">
        <v>3</v>
      </c>
      <c r="G3" s="9">
        <v>330</v>
      </c>
      <c r="J3" s="14" t="s">
        <v>269</v>
      </c>
      <c r="K3" s="13">
        <f>SUM(Purchase[Quantity_Ordered])</f>
        <v>6825</v>
      </c>
    </row>
    <row r="4" spans="1:11" x14ac:dyDescent="0.35">
      <c r="A4" s="10" t="s">
        <v>224</v>
      </c>
      <c r="B4" s="7">
        <v>45654</v>
      </c>
      <c r="C4" s="10" t="s">
        <v>38</v>
      </c>
      <c r="D4" s="10">
        <v>180</v>
      </c>
      <c r="E4" s="10">
        <v>1.8</v>
      </c>
      <c r="F4" s="9">
        <v>4</v>
      </c>
      <c r="G4" s="9">
        <v>324</v>
      </c>
      <c r="J4" s="16"/>
    </row>
    <row r="5" spans="1:11" x14ac:dyDescent="0.35">
      <c r="A5" s="10" t="s">
        <v>225</v>
      </c>
      <c r="B5" s="7">
        <v>45654</v>
      </c>
      <c r="C5" s="10" t="s">
        <v>5</v>
      </c>
      <c r="D5" s="10">
        <v>120</v>
      </c>
      <c r="E5" s="10">
        <v>4</v>
      </c>
      <c r="F5" s="9">
        <v>2</v>
      </c>
      <c r="G5" s="9">
        <v>480</v>
      </c>
    </row>
    <row r="6" spans="1:11" x14ac:dyDescent="0.35">
      <c r="A6" s="10" t="s">
        <v>226</v>
      </c>
      <c r="B6" s="7">
        <v>45654</v>
      </c>
      <c r="C6" s="10" t="s">
        <v>46</v>
      </c>
      <c r="D6" s="10">
        <v>90</v>
      </c>
      <c r="E6" s="10">
        <v>10.5</v>
      </c>
      <c r="F6" s="9">
        <v>5</v>
      </c>
      <c r="G6" s="9">
        <v>945</v>
      </c>
      <c r="I6" s="15"/>
    </row>
    <row r="7" spans="1:11" x14ac:dyDescent="0.35">
      <c r="A7" s="10" t="s">
        <v>227</v>
      </c>
      <c r="B7" s="7">
        <v>45677</v>
      </c>
      <c r="C7" s="10" t="s">
        <v>35</v>
      </c>
      <c r="D7" s="10">
        <v>120</v>
      </c>
      <c r="E7" s="10">
        <v>6</v>
      </c>
      <c r="F7" s="9">
        <v>4</v>
      </c>
      <c r="G7" s="9">
        <v>720</v>
      </c>
    </row>
    <row r="8" spans="1:11" x14ac:dyDescent="0.35">
      <c r="A8" s="10" t="s">
        <v>228</v>
      </c>
      <c r="B8" s="7">
        <v>45693</v>
      </c>
      <c r="C8" s="10" t="s">
        <v>66</v>
      </c>
      <c r="D8" s="10">
        <v>220</v>
      </c>
      <c r="E8" s="10">
        <v>3.2</v>
      </c>
      <c r="F8" s="9">
        <v>2</v>
      </c>
      <c r="G8" s="9">
        <v>704</v>
      </c>
    </row>
    <row r="9" spans="1:11" x14ac:dyDescent="0.35">
      <c r="A9" s="10" t="s">
        <v>229</v>
      </c>
      <c r="B9" s="7">
        <v>45693</v>
      </c>
      <c r="C9" s="10" t="s">
        <v>38</v>
      </c>
      <c r="D9" s="10">
        <v>200</v>
      </c>
      <c r="E9" s="10">
        <v>1.8</v>
      </c>
      <c r="F9" s="9">
        <v>3</v>
      </c>
      <c r="G9" s="9">
        <v>360</v>
      </c>
    </row>
    <row r="10" spans="1:11" x14ac:dyDescent="0.35">
      <c r="A10" s="10" t="s">
        <v>230</v>
      </c>
      <c r="B10" s="7">
        <v>45693</v>
      </c>
      <c r="C10" s="10" t="s">
        <v>20</v>
      </c>
      <c r="D10" s="10">
        <v>350</v>
      </c>
      <c r="E10" s="10">
        <v>1.1000000000000001</v>
      </c>
      <c r="F10" s="9">
        <v>3</v>
      </c>
      <c r="G10" s="9">
        <v>385.00000000000006</v>
      </c>
    </row>
    <row r="11" spans="1:11" x14ac:dyDescent="0.35">
      <c r="A11" s="10" t="s">
        <v>231</v>
      </c>
      <c r="B11" s="7">
        <v>45717</v>
      </c>
      <c r="C11" s="10" t="s">
        <v>46</v>
      </c>
      <c r="D11" s="10">
        <v>100</v>
      </c>
      <c r="E11" s="10">
        <v>10.5</v>
      </c>
      <c r="F11" s="9">
        <v>5</v>
      </c>
      <c r="G11" s="9">
        <v>1050</v>
      </c>
    </row>
    <row r="12" spans="1:11" x14ac:dyDescent="0.35">
      <c r="A12" s="10" t="s">
        <v>232</v>
      </c>
      <c r="B12" s="7">
        <v>45717</v>
      </c>
      <c r="C12" s="10" t="s">
        <v>78</v>
      </c>
      <c r="D12" s="10">
        <v>80</v>
      </c>
      <c r="E12" s="10">
        <v>11</v>
      </c>
      <c r="F12" s="9">
        <v>6</v>
      </c>
      <c r="G12" s="9">
        <v>880</v>
      </c>
    </row>
    <row r="13" spans="1:11" x14ac:dyDescent="0.35">
      <c r="A13" s="10" t="s">
        <v>233</v>
      </c>
      <c r="B13" s="7">
        <v>45757</v>
      </c>
      <c r="C13" s="10" t="s">
        <v>66</v>
      </c>
      <c r="D13" s="10">
        <v>200</v>
      </c>
      <c r="E13" s="10">
        <v>3.2</v>
      </c>
      <c r="F13" s="9">
        <v>2</v>
      </c>
      <c r="G13" s="9">
        <v>640</v>
      </c>
    </row>
    <row r="14" spans="1:11" x14ac:dyDescent="0.35">
      <c r="A14" s="10" t="s">
        <v>234</v>
      </c>
      <c r="B14" s="7">
        <v>45757</v>
      </c>
      <c r="C14" s="10" t="s">
        <v>38</v>
      </c>
      <c r="D14" s="10">
        <v>180</v>
      </c>
      <c r="E14" s="10">
        <v>1.8</v>
      </c>
      <c r="F14" s="9">
        <v>3</v>
      </c>
      <c r="G14" s="9">
        <v>324</v>
      </c>
    </row>
    <row r="15" spans="1:11" x14ac:dyDescent="0.35">
      <c r="A15" s="10" t="s">
        <v>235</v>
      </c>
      <c r="B15" s="7">
        <v>45778</v>
      </c>
      <c r="C15" s="10" t="s">
        <v>20</v>
      </c>
      <c r="D15" s="10">
        <v>320</v>
      </c>
      <c r="E15" s="10">
        <v>1.1000000000000001</v>
      </c>
      <c r="F15" s="9">
        <v>3</v>
      </c>
      <c r="G15" s="9">
        <v>352</v>
      </c>
    </row>
    <row r="16" spans="1:11" x14ac:dyDescent="0.35">
      <c r="A16" s="10" t="s">
        <v>236</v>
      </c>
      <c r="B16" s="7">
        <v>45823</v>
      </c>
      <c r="C16" s="10" t="s">
        <v>35</v>
      </c>
      <c r="D16" s="10">
        <v>140</v>
      </c>
      <c r="E16" s="10">
        <v>6</v>
      </c>
      <c r="F16" s="9">
        <v>4</v>
      </c>
      <c r="G16" s="9">
        <v>840</v>
      </c>
    </row>
    <row r="17" spans="1:7" x14ac:dyDescent="0.35">
      <c r="A17" s="10" t="s">
        <v>237</v>
      </c>
      <c r="B17" s="7">
        <v>45839</v>
      </c>
      <c r="C17" s="10" t="s">
        <v>46</v>
      </c>
      <c r="D17" s="10">
        <v>120</v>
      </c>
      <c r="E17" s="10">
        <v>10.5</v>
      </c>
      <c r="F17" s="9">
        <v>5</v>
      </c>
      <c r="G17" s="9">
        <v>1260</v>
      </c>
    </row>
    <row r="18" spans="1:7" x14ac:dyDescent="0.35">
      <c r="A18" s="10" t="s">
        <v>238</v>
      </c>
      <c r="B18" s="7">
        <v>45870</v>
      </c>
      <c r="C18" s="10" t="s">
        <v>78</v>
      </c>
      <c r="D18" s="10">
        <v>90</v>
      </c>
      <c r="E18" s="10">
        <v>11</v>
      </c>
      <c r="F18" s="9">
        <v>6</v>
      </c>
      <c r="G18" s="9">
        <v>990</v>
      </c>
    </row>
    <row r="19" spans="1:7" x14ac:dyDescent="0.35">
      <c r="A19" s="10" t="s">
        <v>239</v>
      </c>
      <c r="B19" s="7">
        <v>45901</v>
      </c>
      <c r="C19" s="10" t="s">
        <v>66</v>
      </c>
      <c r="D19" s="10">
        <v>210</v>
      </c>
      <c r="E19" s="10">
        <v>3.2</v>
      </c>
      <c r="F19" s="9">
        <v>2</v>
      </c>
      <c r="G19" s="9">
        <v>672</v>
      </c>
    </row>
    <row r="20" spans="1:7" x14ac:dyDescent="0.35">
      <c r="A20" s="10" t="s">
        <v>240</v>
      </c>
      <c r="B20" s="7">
        <v>45935</v>
      </c>
      <c r="C20" s="10" t="s">
        <v>38</v>
      </c>
      <c r="D20" s="10">
        <v>200</v>
      </c>
      <c r="E20" s="10">
        <v>1.8</v>
      </c>
      <c r="F20" s="9">
        <v>3</v>
      </c>
      <c r="G20" s="9">
        <v>360</v>
      </c>
    </row>
    <row r="21" spans="1:7" x14ac:dyDescent="0.35">
      <c r="A21" s="10" t="s">
        <v>241</v>
      </c>
      <c r="B21" s="7">
        <v>45971</v>
      </c>
      <c r="C21" s="10" t="s">
        <v>20</v>
      </c>
      <c r="D21" s="10">
        <v>350</v>
      </c>
      <c r="E21" s="10">
        <v>1.1000000000000001</v>
      </c>
      <c r="F21" s="9">
        <v>3</v>
      </c>
      <c r="G21" s="9">
        <v>385.00000000000006</v>
      </c>
    </row>
    <row r="22" spans="1:7" x14ac:dyDescent="0.35">
      <c r="A22" s="10" t="s">
        <v>242</v>
      </c>
      <c r="B22" s="7">
        <v>45672</v>
      </c>
      <c r="C22" s="10" t="s">
        <v>63</v>
      </c>
      <c r="D22" s="10">
        <v>150</v>
      </c>
      <c r="E22" s="10">
        <v>5.5</v>
      </c>
      <c r="F22" s="9">
        <v>2</v>
      </c>
      <c r="G22" s="9">
        <v>825</v>
      </c>
    </row>
    <row r="23" spans="1:7" x14ac:dyDescent="0.35">
      <c r="A23" s="10" t="s">
        <v>243</v>
      </c>
      <c r="B23" s="7">
        <v>45675</v>
      </c>
      <c r="C23" s="10" t="s">
        <v>78</v>
      </c>
      <c r="D23" s="10">
        <v>70</v>
      </c>
      <c r="E23" s="10">
        <v>11</v>
      </c>
      <c r="F23" s="9">
        <v>6</v>
      </c>
      <c r="G23" s="9">
        <v>770</v>
      </c>
    </row>
    <row r="24" spans="1:7" x14ac:dyDescent="0.35">
      <c r="A24" s="10" t="s">
        <v>244</v>
      </c>
      <c r="B24" s="7">
        <v>45698</v>
      </c>
      <c r="C24" s="10" t="s">
        <v>35</v>
      </c>
      <c r="D24" s="10">
        <v>130</v>
      </c>
      <c r="E24" s="10">
        <v>6</v>
      </c>
      <c r="F24" s="9">
        <v>4</v>
      </c>
      <c r="G24" s="9">
        <v>780</v>
      </c>
    </row>
    <row r="25" spans="1:7" x14ac:dyDescent="0.35">
      <c r="A25" s="10" t="s">
        <v>245</v>
      </c>
      <c r="B25" s="7">
        <v>45700</v>
      </c>
      <c r="C25" s="10" t="s">
        <v>46</v>
      </c>
      <c r="D25" s="10">
        <v>85</v>
      </c>
      <c r="E25" s="10">
        <v>10.5</v>
      </c>
      <c r="F25" s="9">
        <v>5</v>
      </c>
      <c r="G25" s="9">
        <v>892.5</v>
      </c>
    </row>
    <row r="26" spans="1:7" x14ac:dyDescent="0.35">
      <c r="A26" s="10" t="s">
        <v>246</v>
      </c>
      <c r="B26" s="7">
        <v>45731</v>
      </c>
      <c r="C26" s="10" t="s">
        <v>5</v>
      </c>
      <c r="D26" s="10">
        <v>110</v>
      </c>
      <c r="E26" s="10">
        <v>4</v>
      </c>
      <c r="F26" s="9">
        <v>2</v>
      </c>
      <c r="G26" s="9">
        <v>440</v>
      </c>
    </row>
    <row r="27" spans="1:7" x14ac:dyDescent="0.35">
      <c r="A27" s="10" t="s">
        <v>247</v>
      </c>
      <c r="B27" s="7">
        <v>45736</v>
      </c>
      <c r="C27" s="10" t="s">
        <v>63</v>
      </c>
      <c r="D27" s="10">
        <v>170</v>
      </c>
      <c r="E27" s="10">
        <v>5.5</v>
      </c>
      <c r="F27" s="9">
        <v>2</v>
      </c>
      <c r="G27" s="9">
        <v>935</v>
      </c>
    </row>
    <row r="28" spans="1:7" x14ac:dyDescent="0.35">
      <c r="A28" s="10" t="s">
        <v>248</v>
      </c>
      <c r="B28" s="7">
        <v>45749</v>
      </c>
      <c r="C28" s="10" t="s">
        <v>66</v>
      </c>
      <c r="D28" s="10">
        <v>200</v>
      </c>
      <c r="E28" s="10">
        <v>3.2</v>
      </c>
      <c r="F28" s="9">
        <v>2</v>
      </c>
      <c r="G28" s="9">
        <v>640</v>
      </c>
    </row>
    <row r="29" spans="1:7" x14ac:dyDescent="0.35">
      <c r="A29" s="10" t="s">
        <v>249</v>
      </c>
      <c r="B29" s="7">
        <v>45762</v>
      </c>
      <c r="C29" s="10" t="s">
        <v>38</v>
      </c>
      <c r="D29" s="10">
        <v>190</v>
      </c>
      <c r="E29" s="10">
        <v>1.8</v>
      </c>
      <c r="F29" s="9">
        <v>3</v>
      </c>
      <c r="G29" s="9">
        <v>342</v>
      </c>
    </row>
    <row r="30" spans="1:7" x14ac:dyDescent="0.35">
      <c r="A30" s="10" t="s">
        <v>250</v>
      </c>
      <c r="B30" s="7">
        <v>45782</v>
      </c>
      <c r="C30" s="10" t="s">
        <v>20</v>
      </c>
      <c r="D30" s="10">
        <v>300</v>
      </c>
      <c r="E30" s="10">
        <v>1.1000000000000001</v>
      </c>
      <c r="F30" s="9">
        <v>3</v>
      </c>
      <c r="G30" s="9">
        <v>330</v>
      </c>
    </row>
    <row r="31" spans="1:7" x14ac:dyDescent="0.35">
      <c r="A31" s="10" t="s">
        <v>251</v>
      </c>
      <c r="B31" s="7">
        <v>45792</v>
      </c>
      <c r="C31" s="10" t="s">
        <v>48</v>
      </c>
      <c r="D31" s="10">
        <v>120</v>
      </c>
      <c r="E31" s="10">
        <v>3.2</v>
      </c>
      <c r="F31" s="9">
        <v>4</v>
      </c>
      <c r="G31" s="9">
        <v>384</v>
      </c>
    </row>
    <row r="32" spans="1:7" x14ac:dyDescent="0.35">
      <c r="A32" s="10" t="s">
        <v>252</v>
      </c>
      <c r="B32" s="7">
        <v>45818</v>
      </c>
      <c r="C32" s="10" t="s">
        <v>35</v>
      </c>
      <c r="D32" s="10">
        <v>140</v>
      </c>
      <c r="E32" s="10">
        <v>6</v>
      </c>
      <c r="F32" s="9">
        <v>4</v>
      </c>
      <c r="G32" s="9">
        <v>840</v>
      </c>
    </row>
    <row r="33" spans="1:7" x14ac:dyDescent="0.35">
      <c r="A33" s="10" t="s">
        <v>253</v>
      </c>
      <c r="B33" s="7">
        <v>45826</v>
      </c>
      <c r="C33" s="10" t="s">
        <v>46</v>
      </c>
      <c r="D33" s="10">
        <v>95</v>
      </c>
      <c r="E33" s="10">
        <v>10.5</v>
      </c>
      <c r="F33" s="9">
        <v>5</v>
      </c>
      <c r="G33" s="9">
        <v>997.5</v>
      </c>
    </row>
    <row r="34" spans="1:7" x14ac:dyDescent="0.35">
      <c r="A34" s="10" t="s">
        <v>254</v>
      </c>
      <c r="B34" s="7">
        <v>45843</v>
      </c>
      <c r="C34" s="10" t="s">
        <v>78</v>
      </c>
      <c r="D34" s="10">
        <v>85</v>
      </c>
      <c r="E34" s="10">
        <v>11</v>
      </c>
      <c r="F34" s="9">
        <v>6</v>
      </c>
      <c r="G34" s="9">
        <v>935</v>
      </c>
    </row>
    <row r="35" spans="1:7" x14ac:dyDescent="0.35">
      <c r="A35" s="10" t="s">
        <v>255</v>
      </c>
      <c r="B35" s="7">
        <v>45850</v>
      </c>
      <c r="C35" s="10" t="s">
        <v>63</v>
      </c>
      <c r="D35" s="10">
        <v>160</v>
      </c>
      <c r="E35" s="10">
        <v>5.5</v>
      </c>
      <c r="F35" s="9">
        <v>2</v>
      </c>
      <c r="G35" s="9">
        <v>880</v>
      </c>
    </row>
    <row r="36" spans="1:7" x14ac:dyDescent="0.35">
      <c r="A36" s="10" t="s">
        <v>256</v>
      </c>
      <c r="B36" s="7">
        <v>45870</v>
      </c>
      <c r="C36" s="10" t="s">
        <v>66</v>
      </c>
      <c r="D36" s="10">
        <v>210</v>
      </c>
      <c r="E36" s="10">
        <v>3.2</v>
      </c>
      <c r="F36" s="9">
        <v>2</v>
      </c>
      <c r="G36" s="9">
        <v>672</v>
      </c>
    </row>
    <row r="37" spans="1:7" x14ac:dyDescent="0.35">
      <c r="A37" s="10" t="s">
        <v>257</v>
      </c>
      <c r="B37" s="7">
        <v>45879</v>
      </c>
      <c r="C37" s="10" t="s">
        <v>38</v>
      </c>
      <c r="D37" s="10">
        <v>180</v>
      </c>
      <c r="E37" s="10">
        <v>1.8</v>
      </c>
      <c r="F37" s="9">
        <v>3</v>
      </c>
      <c r="G37" s="9">
        <v>324</v>
      </c>
    </row>
    <row r="38" spans="1:7" x14ac:dyDescent="0.35">
      <c r="A38" s="10" t="s">
        <v>258</v>
      </c>
      <c r="B38" s="7">
        <v>45915</v>
      </c>
      <c r="C38" s="10" t="s">
        <v>35</v>
      </c>
      <c r="D38" s="10">
        <v>150</v>
      </c>
      <c r="E38" s="10">
        <v>6</v>
      </c>
      <c r="F38" s="9">
        <v>4</v>
      </c>
      <c r="G38" s="9">
        <v>900</v>
      </c>
    </row>
    <row r="39" spans="1:7" x14ac:dyDescent="0.35">
      <c r="A39" s="10" t="s">
        <v>259</v>
      </c>
      <c r="B39" s="7">
        <v>45935</v>
      </c>
      <c r="C39" s="10" t="s">
        <v>46</v>
      </c>
      <c r="D39" s="10">
        <v>100</v>
      </c>
      <c r="E39" s="10">
        <v>10.5</v>
      </c>
      <c r="F39" s="9">
        <v>5</v>
      </c>
      <c r="G39" s="9">
        <v>1050</v>
      </c>
    </row>
    <row r="40" spans="1:7" x14ac:dyDescent="0.35">
      <c r="A40" s="10" t="s">
        <v>260</v>
      </c>
      <c r="B40" s="7">
        <v>45962</v>
      </c>
      <c r="C40" s="10" t="s">
        <v>20</v>
      </c>
      <c r="D40" s="10">
        <v>320</v>
      </c>
      <c r="E40" s="10">
        <v>1.1000000000000001</v>
      </c>
      <c r="F40" s="9">
        <v>3</v>
      </c>
      <c r="G40" s="9">
        <v>352</v>
      </c>
    </row>
    <row r="41" spans="1:7" x14ac:dyDescent="0.35">
      <c r="A41" s="10" t="s">
        <v>261</v>
      </c>
      <c r="B41" s="7">
        <v>45981</v>
      </c>
      <c r="C41" s="10" t="s">
        <v>78</v>
      </c>
      <c r="D41" s="10">
        <v>90</v>
      </c>
      <c r="E41" s="10">
        <v>11</v>
      </c>
      <c r="F41" s="9">
        <v>6</v>
      </c>
      <c r="G41" s="9">
        <v>990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1"/>
  <sheetViews>
    <sheetView workbookViewId="0">
      <selection activeCell="D9" sqref="D9"/>
    </sheetView>
  </sheetViews>
  <sheetFormatPr defaultRowHeight="14.5" x14ac:dyDescent="0.35"/>
  <cols>
    <col min="1" max="1" width="12.54296875" bestFit="1" customWidth="1"/>
    <col min="2" max="3" width="15.7265625" bestFit="1" customWidth="1"/>
  </cols>
  <sheetData>
    <row r="1" spans="1:2" x14ac:dyDescent="0.35">
      <c r="A1" s="10" t="s">
        <v>0</v>
      </c>
      <c r="B1" s="9" t="s">
        <v>262</v>
      </c>
    </row>
    <row r="2" spans="1:2" x14ac:dyDescent="0.35">
      <c r="A2" s="10" t="s">
        <v>5</v>
      </c>
      <c r="B2" s="9">
        <v>60</v>
      </c>
    </row>
    <row r="3" spans="1:2" x14ac:dyDescent="0.35">
      <c r="A3" s="10" t="s">
        <v>8</v>
      </c>
      <c r="B3" s="9">
        <v>80</v>
      </c>
    </row>
    <row r="4" spans="1:2" x14ac:dyDescent="0.35">
      <c r="A4" s="10" t="s">
        <v>10</v>
      </c>
      <c r="B4" s="9">
        <v>50</v>
      </c>
    </row>
    <row r="5" spans="1:2" x14ac:dyDescent="0.35">
      <c r="A5" s="10" t="s">
        <v>12</v>
      </c>
      <c r="B5" s="9">
        <v>45</v>
      </c>
    </row>
    <row r="6" spans="1:2" x14ac:dyDescent="0.35">
      <c r="A6" s="10" t="s">
        <v>14</v>
      </c>
      <c r="B6" s="9">
        <v>55</v>
      </c>
    </row>
    <row r="7" spans="1:2" x14ac:dyDescent="0.35">
      <c r="A7" s="10" t="s">
        <v>16</v>
      </c>
      <c r="B7" s="9">
        <v>40</v>
      </c>
    </row>
    <row r="8" spans="1:2" x14ac:dyDescent="0.35">
      <c r="A8" s="10" t="s">
        <v>18</v>
      </c>
      <c r="B8" s="9">
        <v>50</v>
      </c>
    </row>
    <row r="9" spans="1:2" x14ac:dyDescent="0.35">
      <c r="A9" s="10" t="s">
        <v>20</v>
      </c>
      <c r="B9" s="9">
        <v>120</v>
      </c>
    </row>
    <row r="10" spans="1:2" x14ac:dyDescent="0.35">
      <c r="A10" s="10" t="s">
        <v>23</v>
      </c>
      <c r="B10" s="9">
        <v>90</v>
      </c>
    </row>
    <row r="11" spans="1:2" x14ac:dyDescent="0.35">
      <c r="A11" s="10" t="s">
        <v>25</v>
      </c>
      <c r="B11" s="9">
        <v>35</v>
      </c>
    </row>
    <row r="12" spans="1:2" x14ac:dyDescent="0.35">
      <c r="A12" s="10" t="s">
        <v>27</v>
      </c>
      <c r="B12" s="9">
        <v>150</v>
      </c>
    </row>
    <row r="13" spans="1:2" x14ac:dyDescent="0.35">
      <c r="A13" s="10" t="s">
        <v>29</v>
      </c>
      <c r="B13" s="9">
        <v>85</v>
      </c>
    </row>
    <row r="14" spans="1:2" x14ac:dyDescent="0.35">
      <c r="A14" s="10" t="s">
        <v>31</v>
      </c>
      <c r="B14" s="9">
        <v>110</v>
      </c>
    </row>
    <row r="15" spans="1:2" x14ac:dyDescent="0.35">
      <c r="A15" s="10" t="s">
        <v>33</v>
      </c>
      <c r="B15" s="9">
        <v>60</v>
      </c>
    </row>
    <row r="16" spans="1:2" x14ac:dyDescent="0.35">
      <c r="A16" s="10" t="s">
        <v>35</v>
      </c>
      <c r="B16" s="9">
        <v>70</v>
      </c>
    </row>
    <row r="17" spans="1:2" x14ac:dyDescent="0.35">
      <c r="A17" s="10" t="s">
        <v>38</v>
      </c>
      <c r="B17" s="9">
        <v>100</v>
      </c>
    </row>
    <row r="18" spans="1:2" x14ac:dyDescent="0.35">
      <c r="A18" s="10" t="s">
        <v>40</v>
      </c>
      <c r="B18" s="9">
        <v>65</v>
      </c>
    </row>
    <row r="19" spans="1:2" x14ac:dyDescent="0.35">
      <c r="A19" s="10" t="s">
        <v>42</v>
      </c>
      <c r="B19" s="9">
        <v>60</v>
      </c>
    </row>
    <row r="20" spans="1:2" x14ac:dyDescent="0.35">
      <c r="A20" s="10" t="s">
        <v>44</v>
      </c>
      <c r="B20" s="9">
        <v>75</v>
      </c>
    </row>
    <row r="21" spans="1:2" x14ac:dyDescent="0.35">
      <c r="A21" s="10" t="s">
        <v>46</v>
      </c>
      <c r="B21" s="9">
        <v>50</v>
      </c>
    </row>
    <row r="22" spans="1:2" x14ac:dyDescent="0.35">
      <c r="A22" s="10" t="s">
        <v>48</v>
      </c>
      <c r="B22" s="9">
        <v>60</v>
      </c>
    </row>
    <row r="23" spans="1:2" x14ac:dyDescent="0.35">
      <c r="A23" s="10" t="s">
        <v>50</v>
      </c>
      <c r="B23" s="9">
        <v>40</v>
      </c>
    </row>
    <row r="24" spans="1:2" x14ac:dyDescent="0.35">
      <c r="A24" s="10" t="s">
        <v>53</v>
      </c>
      <c r="B24" s="9">
        <v>45</v>
      </c>
    </row>
    <row r="25" spans="1:2" x14ac:dyDescent="0.35">
      <c r="A25" s="10" t="s">
        <v>55</v>
      </c>
      <c r="B25" s="9">
        <v>50</v>
      </c>
    </row>
    <row r="26" spans="1:2" x14ac:dyDescent="0.35">
      <c r="A26" s="10" t="s">
        <v>57</v>
      </c>
      <c r="B26" s="9">
        <v>35</v>
      </c>
    </row>
    <row r="27" spans="1:2" x14ac:dyDescent="0.35">
      <c r="A27" s="10" t="s">
        <v>59</v>
      </c>
      <c r="B27" s="9">
        <v>30</v>
      </c>
    </row>
    <row r="28" spans="1:2" x14ac:dyDescent="0.35">
      <c r="A28" s="10" t="s">
        <v>61</v>
      </c>
      <c r="B28" s="9">
        <v>40</v>
      </c>
    </row>
    <row r="29" spans="1:2" x14ac:dyDescent="0.35">
      <c r="A29" s="10" t="s">
        <v>63</v>
      </c>
      <c r="B29" s="9">
        <v>90</v>
      </c>
    </row>
    <row r="30" spans="1:2" x14ac:dyDescent="0.35">
      <c r="A30" s="10" t="s">
        <v>66</v>
      </c>
      <c r="B30" s="9">
        <v>100</v>
      </c>
    </row>
    <row r="31" spans="1:2" x14ac:dyDescent="0.35">
      <c r="A31" s="10" t="s">
        <v>68</v>
      </c>
      <c r="B31" s="9">
        <v>80</v>
      </c>
    </row>
    <row r="32" spans="1:2" x14ac:dyDescent="0.35">
      <c r="A32" s="10" t="s">
        <v>70</v>
      </c>
      <c r="B32" s="9">
        <v>85</v>
      </c>
    </row>
    <row r="33" spans="1:2" x14ac:dyDescent="0.35">
      <c r="A33" s="10" t="s">
        <v>72</v>
      </c>
      <c r="B33" s="9">
        <v>70</v>
      </c>
    </row>
    <row r="34" spans="1:2" x14ac:dyDescent="0.35">
      <c r="A34" s="10" t="s">
        <v>74</v>
      </c>
      <c r="B34" s="9">
        <v>60</v>
      </c>
    </row>
    <row r="35" spans="1:2" x14ac:dyDescent="0.35">
      <c r="A35" s="10" t="s">
        <v>76</v>
      </c>
      <c r="B35" s="9">
        <v>50</v>
      </c>
    </row>
    <row r="36" spans="1:2" x14ac:dyDescent="0.35">
      <c r="A36" s="10" t="s">
        <v>78</v>
      </c>
      <c r="B36" s="9">
        <v>55</v>
      </c>
    </row>
    <row r="37" spans="1:2" x14ac:dyDescent="0.35">
      <c r="A37" s="10" t="s">
        <v>81</v>
      </c>
      <c r="B37" s="9">
        <v>45</v>
      </c>
    </row>
    <row r="38" spans="1:2" x14ac:dyDescent="0.35">
      <c r="A38" s="10" t="s">
        <v>83</v>
      </c>
      <c r="B38" s="9">
        <v>40</v>
      </c>
    </row>
    <row r="39" spans="1:2" x14ac:dyDescent="0.35">
      <c r="A39" s="10" t="s">
        <v>85</v>
      </c>
      <c r="B39" s="9">
        <v>35</v>
      </c>
    </row>
    <row r="40" spans="1:2" x14ac:dyDescent="0.35">
      <c r="A40" s="10" t="s">
        <v>87</v>
      </c>
      <c r="B40" s="9">
        <v>30</v>
      </c>
    </row>
    <row r="41" spans="1:2" x14ac:dyDescent="0.35">
      <c r="A41" s="10" t="s">
        <v>89</v>
      </c>
      <c r="B41" s="9">
        <v>25</v>
      </c>
    </row>
    <row r="42" spans="1:2" x14ac:dyDescent="0.35">
      <c r="A42" s="10" t="s">
        <v>91</v>
      </c>
      <c r="B42" s="9">
        <v>60</v>
      </c>
    </row>
    <row r="43" spans="1:2" x14ac:dyDescent="0.35">
      <c r="A43" s="10" t="s">
        <v>94</v>
      </c>
      <c r="B43" s="9">
        <v>45</v>
      </c>
    </row>
    <row r="44" spans="1:2" x14ac:dyDescent="0.35">
      <c r="A44" s="10" t="s">
        <v>96</v>
      </c>
      <c r="B44" s="9">
        <v>70</v>
      </c>
    </row>
    <row r="45" spans="1:2" x14ac:dyDescent="0.35">
      <c r="A45" s="10" t="s">
        <v>98</v>
      </c>
      <c r="B45" s="9">
        <v>50</v>
      </c>
    </row>
    <row r="46" spans="1:2" x14ac:dyDescent="0.35">
      <c r="A46" s="10" t="s">
        <v>100</v>
      </c>
      <c r="B46" s="9">
        <v>40</v>
      </c>
    </row>
    <row r="47" spans="1:2" x14ac:dyDescent="0.35">
      <c r="A47" s="10" t="s">
        <v>102</v>
      </c>
      <c r="B47" s="9">
        <v>35</v>
      </c>
    </row>
    <row r="48" spans="1:2" x14ac:dyDescent="0.35">
      <c r="A48" s="10" t="s">
        <v>104</v>
      </c>
      <c r="B48" s="9">
        <v>30</v>
      </c>
    </row>
    <row r="49" spans="1:2" x14ac:dyDescent="0.35">
      <c r="A49" s="10" t="s">
        <v>106</v>
      </c>
      <c r="B49" s="9">
        <v>45</v>
      </c>
    </row>
    <row r="50" spans="1:2" x14ac:dyDescent="0.35">
      <c r="A50" s="10" t="s">
        <v>109</v>
      </c>
      <c r="B50" s="9">
        <v>40</v>
      </c>
    </row>
    <row r="51" spans="1:2" x14ac:dyDescent="0.35">
      <c r="A51" s="10" t="s">
        <v>111</v>
      </c>
      <c r="B51" s="9">
        <v>55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4"/>
  <sheetViews>
    <sheetView tabSelected="1" zoomScale="85" zoomScaleNormal="85" workbookViewId="0">
      <selection sqref="A1:E1"/>
    </sheetView>
  </sheetViews>
  <sheetFormatPr defaultRowHeight="14.5" x14ac:dyDescent="0.35"/>
  <cols>
    <col min="1" max="1" width="12.54296875" bestFit="1" customWidth="1"/>
    <col min="2" max="2" width="15.7265625" bestFit="1" customWidth="1"/>
    <col min="3" max="3" width="13" bestFit="1" customWidth="1"/>
    <col min="4" max="4" width="14.36328125" bestFit="1" customWidth="1"/>
    <col min="5" max="5" width="14.54296875" bestFit="1" customWidth="1"/>
    <col min="6" max="6" width="15.7265625" bestFit="1" customWidth="1"/>
    <col min="7" max="7" width="13" bestFit="1" customWidth="1"/>
    <col min="8" max="8" width="14.36328125" bestFit="1" customWidth="1"/>
    <col min="9" max="9" width="14.54296875" bestFit="1" customWidth="1"/>
  </cols>
  <sheetData>
    <row r="1" spans="1:9" ht="15" thickBot="1" x14ac:dyDescent="0.4">
      <c r="A1" s="10" t="s">
        <v>0</v>
      </c>
      <c r="B1" s="10" t="s">
        <v>262</v>
      </c>
      <c r="C1" s="10" t="s">
        <v>263</v>
      </c>
      <c r="D1" s="10" t="s">
        <v>264</v>
      </c>
      <c r="E1" s="9" t="s">
        <v>265</v>
      </c>
    </row>
    <row r="2" spans="1:9" ht="15" thickBot="1" x14ac:dyDescent="0.4">
      <c r="A2" s="10" t="s">
        <v>5</v>
      </c>
      <c r="B2" s="10">
        <v>60</v>
      </c>
      <c r="C2" s="10">
        <v>120</v>
      </c>
      <c r="D2" s="10">
        <v>10</v>
      </c>
      <c r="E2" s="9">
        <v>170</v>
      </c>
      <c r="H2" s="11" t="s">
        <v>270</v>
      </c>
      <c r="I2" s="12">
        <f>SUM(Inventory_Movement[Quantity_in])</f>
        <v>75235</v>
      </c>
    </row>
    <row r="3" spans="1:9" ht="15" thickBot="1" x14ac:dyDescent="0.4">
      <c r="A3" s="10" t="s">
        <v>5</v>
      </c>
      <c r="B3" s="10">
        <v>60</v>
      </c>
      <c r="C3" s="10">
        <v>120</v>
      </c>
      <c r="D3" s="10">
        <v>13</v>
      </c>
      <c r="E3" s="9">
        <v>167</v>
      </c>
      <c r="H3" s="11" t="s">
        <v>271</v>
      </c>
      <c r="I3" s="12">
        <f>SUM(Inventory_Movement[Quantity_out])</f>
        <v>8130</v>
      </c>
    </row>
    <row r="4" spans="1:9" x14ac:dyDescent="0.35">
      <c r="A4" s="10" t="s">
        <v>5</v>
      </c>
      <c r="B4" s="10">
        <v>60</v>
      </c>
      <c r="C4" s="10">
        <v>120</v>
      </c>
      <c r="D4" s="10">
        <v>14</v>
      </c>
      <c r="E4" s="9">
        <v>166</v>
      </c>
    </row>
    <row r="5" spans="1:9" x14ac:dyDescent="0.35">
      <c r="A5" s="10" t="s">
        <v>5</v>
      </c>
      <c r="B5" s="10">
        <v>60</v>
      </c>
      <c r="C5" s="10">
        <v>120</v>
      </c>
      <c r="D5" s="10">
        <v>15</v>
      </c>
      <c r="E5" s="9">
        <v>165</v>
      </c>
    </row>
    <row r="6" spans="1:9" x14ac:dyDescent="0.35">
      <c r="A6" s="10" t="s">
        <v>5</v>
      </c>
      <c r="B6" s="10">
        <v>60</v>
      </c>
      <c r="C6" s="10">
        <v>120</v>
      </c>
      <c r="D6" s="10">
        <v>17</v>
      </c>
      <c r="E6" s="9">
        <v>163</v>
      </c>
    </row>
    <row r="7" spans="1:9" x14ac:dyDescent="0.35">
      <c r="A7" s="10" t="s">
        <v>5</v>
      </c>
      <c r="B7" s="10">
        <v>60</v>
      </c>
      <c r="C7" s="10">
        <v>120</v>
      </c>
      <c r="D7" s="10">
        <v>14</v>
      </c>
      <c r="E7" s="9">
        <v>166</v>
      </c>
    </row>
    <row r="8" spans="1:9" x14ac:dyDescent="0.35">
      <c r="A8" s="10" t="s">
        <v>5</v>
      </c>
      <c r="B8" s="10">
        <v>60</v>
      </c>
      <c r="C8" s="10">
        <v>120</v>
      </c>
      <c r="D8" s="10">
        <v>12</v>
      </c>
      <c r="E8" s="9">
        <v>168</v>
      </c>
    </row>
    <row r="9" spans="1:9" x14ac:dyDescent="0.35">
      <c r="A9" s="10" t="s">
        <v>5</v>
      </c>
      <c r="B9" s="10">
        <v>60</v>
      </c>
      <c r="C9" s="10">
        <v>120</v>
      </c>
      <c r="D9" s="10">
        <v>13</v>
      </c>
      <c r="E9" s="9">
        <v>167</v>
      </c>
    </row>
    <row r="10" spans="1:9" x14ac:dyDescent="0.35">
      <c r="A10" s="10" t="s">
        <v>5</v>
      </c>
      <c r="B10" s="10">
        <v>60</v>
      </c>
      <c r="C10" s="10">
        <v>110</v>
      </c>
      <c r="D10" s="10">
        <v>10</v>
      </c>
      <c r="E10" s="9">
        <v>160</v>
      </c>
    </row>
    <row r="11" spans="1:9" x14ac:dyDescent="0.35">
      <c r="A11" s="10" t="s">
        <v>5</v>
      </c>
      <c r="B11" s="10">
        <v>60</v>
      </c>
      <c r="C11" s="10">
        <v>110</v>
      </c>
      <c r="D11" s="10">
        <v>13</v>
      </c>
      <c r="E11" s="9">
        <v>157</v>
      </c>
    </row>
    <row r="12" spans="1:9" x14ac:dyDescent="0.35">
      <c r="A12" s="10" t="s">
        <v>5</v>
      </c>
      <c r="B12" s="10">
        <v>60</v>
      </c>
      <c r="C12" s="10">
        <v>110</v>
      </c>
      <c r="D12" s="10">
        <v>14</v>
      </c>
      <c r="E12" s="9">
        <v>156</v>
      </c>
    </row>
    <row r="13" spans="1:9" x14ac:dyDescent="0.35">
      <c r="A13" s="10" t="s">
        <v>5</v>
      </c>
      <c r="B13" s="10">
        <v>60</v>
      </c>
      <c r="C13" s="10">
        <v>110</v>
      </c>
      <c r="D13" s="10">
        <v>15</v>
      </c>
      <c r="E13" s="9">
        <v>155</v>
      </c>
    </row>
    <row r="14" spans="1:9" x14ac:dyDescent="0.35">
      <c r="A14" s="10" t="s">
        <v>5</v>
      </c>
      <c r="B14" s="10">
        <v>60</v>
      </c>
      <c r="C14" s="10">
        <v>110</v>
      </c>
      <c r="D14" s="10">
        <v>17</v>
      </c>
      <c r="E14" s="9">
        <v>153</v>
      </c>
    </row>
    <row r="15" spans="1:9" x14ac:dyDescent="0.35">
      <c r="A15" s="10" t="s">
        <v>5</v>
      </c>
      <c r="B15" s="10">
        <v>60</v>
      </c>
      <c r="C15" s="10">
        <v>110</v>
      </c>
      <c r="D15" s="10">
        <v>14</v>
      </c>
      <c r="E15" s="9">
        <v>156</v>
      </c>
    </row>
    <row r="16" spans="1:9" x14ac:dyDescent="0.35">
      <c r="A16" s="10" t="s">
        <v>5</v>
      </c>
      <c r="B16" s="10">
        <v>60</v>
      </c>
      <c r="C16" s="10">
        <v>110</v>
      </c>
      <c r="D16" s="10">
        <v>12</v>
      </c>
      <c r="E16" s="9">
        <v>158</v>
      </c>
    </row>
    <row r="17" spans="1:5" x14ac:dyDescent="0.35">
      <c r="A17" s="10" t="s">
        <v>5</v>
      </c>
      <c r="B17" s="10">
        <v>60</v>
      </c>
      <c r="C17" s="10">
        <v>110</v>
      </c>
      <c r="D17" s="10">
        <v>13</v>
      </c>
      <c r="E17" s="9">
        <v>157</v>
      </c>
    </row>
    <row r="18" spans="1:5" x14ac:dyDescent="0.35">
      <c r="A18" s="10" t="s">
        <v>66</v>
      </c>
      <c r="B18" s="10">
        <v>100</v>
      </c>
      <c r="C18" s="10">
        <v>200</v>
      </c>
      <c r="D18" s="10">
        <v>12</v>
      </c>
      <c r="E18" s="9">
        <v>288</v>
      </c>
    </row>
    <row r="19" spans="1:5" x14ac:dyDescent="0.35">
      <c r="A19" s="10" t="s">
        <v>66</v>
      </c>
      <c r="B19" s="10">
        <v>100</v>
      </c>
      <c r="C19" s="10">
        <v>200</v>
      </c>
      <c r="D19" s="10">
        <v>14</v>
      </c>
      <c r="E19" s="9">
        <v>286</v>
      </c>
    </row>
    <row r="20" spans="1:5" x14ac:dyDescent="0.35">
      <c r="A20" s="10" t="s">
        <v>66</v>
      </c>
      <c r="B20" s="10">
        <v>100</v>
      </c>
      <c r="C20" s="10">
        <v>200</v>
      </c>
      <c r="D20" s="10">
        <v>16</v>
      </c>
      <c r="E20" s="9">
        <v>284</v>
      </c>
    </row>
    <row r="21" spans="1:5" x14ac:dyDescent="0.35">
      <c r="A21" s="10" t="s">
        <v>66</v>
      </c>
      <c r="B21" s="10">
        <v>100</v>
      </c>
      <c r="C21" s="10">
        <v>200</v>
      </c>
      <c r="D21" s="10">
        <v>15</v>
      </c>
      <c r="E21" s="9">
        <v>285</v>
      </c>
    </row>
    <row r="22" spans="1:5" x14ac:dyDescent="0.35">
      <c r="A22" s="10" t="s">
        <v>66</v>
      </c>
      <c r="B22" s="10">
        <v>100</v>
      </c>
      <c r="C22" s="10">
        <v>200</v>
      </c>
      <c r="D22" s="10">
        <v>18</v>
      </c>
      <c r="E22" s="9">
        <v>282</v>
      </c>
    </row>
    <row r="23" spans="1:5" x14ac:dyDescent="0.35">
      <c r="A23" s="10" t="s">
        <v>66</v>
      </c>
      <c r="B23" s="10">
        <v>100</v>
      </c>
      <c r="C23" s="10">
        <v>200</v>
      </c>
      <c r="D23" s="10">
        <v>20</v>
      </c>
      <c r="E23" s="9">
        <v>280</v>
      </c>
    </row>
    <row r="24" spans="1:5" x14ac:dyDescent="0.35">
      <c r="A24" s="10" t="s">
        <v>66</v>
      </c>
      <c r="B24" s="10">
        <v>100</v>
      </c>
      <c r="C24" s="10">
        <v>200</v>
      </c>
      <c r="D24" s="10">
        <v>22</v>
      </c>
      <c r="E24" s="9">
        <v>278</v>
      </c>
    </row>
    <row r="25" spans="1:5" x14ac:dyDescent="0.35">
      <c r="A25" s="10" t="s">
        <v>66</v>
      </c>
      <c r="B25" s="10">
        <v>100</v>
      </c>
      <c r="C25" s="10">
        <v>200</v>
      </c>
      <c r="D25" s="10">
        <v>19</v>
      </c>
      <c r="E25" s="9">
        <v>281</v>
      </c>
    </row>
    <row r="26" spans="1:5" x14ac:dyDescent="0.35">
      <c r="A26" s="10" t="s">
        <v>66</v>
      </c>
      <c r="B26" s="10">
        <v>100</v>
      </c>
      <c r="C26" s="10">
        <v>200</v>
      </c>
      <c r="D26" s="10">
        <v>18</v>
      </c>
      <c r="E26" s="9">
        <v>282</v>
      </c>
    </row>
    <row r="27" spans="1:5" x14ac:dyDescent="0.35">
      <c r="A27" s="10" t="s">
        <v>66</v>
      </c>
      <c r="B27" s="10">
        <v>100</v>
      </c>
      <c r="C27" s="10">
        <v>200</v>
      </c>
      <c r="D27" s="10">
        <v>21</v>
      </c>
      <c r="E27" s="9">
        <v>279</v>
      </c>
    </row>
    <row r="28" spans="1:5" x14ac:dyDescent="0.35">
      <c r="A28" s="10" t="s">
        <v>66</v>
      </c>
      <c r="B28" s="10">
        <v>100</v>
      </c>
      <c r="C28" s="10">
        <v>220</v>
      </c>
      <c r="D28" s="10">
        <v>12</v>
      </c>
      <c r="E28" s="9">
        <v>308</v>
      </c>
    </row>
    <row r="29" spans="1:5" x14ac:dyDescent="0.35">
      <c r="A29" s="10" t="s">
        <v>66</v>
      </c>
      <c r="B29" s="10">
        <v>100</v>
      </c>
      <c r="C29" s="10">
        <v>220</v>
      </c>
      <c r="D29" s="10">
        <v>14</v>
      </c>
      <c r="E29" s="9">
        <v>306</v>
      </c>
    </row>
    <row r="30" spans="1:5" x14ac:dyDescent="0.35">
      <c r="A30" s="10" t="s">
        <v>66</v>
      </c>
      <c r="B30" s="10">
        <v>100</v>
      </c>
      <c r="C30" s="10">
        <v>220</v>
      </c>
      <c r="D30" s="10">
        <v>16</v>
      </c>
      <c r="E30" s="9">
        <v>304</v>
      </c>
    </row>
    <row r="31" spans="1:5" x14ac:dyDescent="0.35">
      <c r="A31" s="10" t="s">
        <v>66</v>
      </c>
      <c r="B31" s="10">
        <v>100</v>
      </c>
      <c r="C31" s="10">
        <v>220</v>
      </c>
      <c r="D31" s="10">
        <v>15</v>
      </c>
      <c r="E31" s="9">
        <v>305</v>
      </c>
    </row>
    <row r="32" spans="1:5" x14ac:dyDescent="0.35">
      <c r="A32" s="10" t="s">
        <v>66</v>
      </c>
      <c r="B32" s="10">
        <v>100</v>
      </c>
      <c r="C32" s="10">
        <v>220</v>
      </c>
      <c r="D32" s="10">
        <v>18</v>
      </c>
      <c r="E32" s="9">
        <v>302</v>
      </c>
    </row>
    <row r="33" spans="1:5" x14ac:dyDescent="0.35">
      <c r="A33" s="10" t="s">
        <v>66</v>
      </c>
      <c r="B33" s="10">
        <v>100</v>
      </c>
      <c r="C33" s="10">
        <v>220</v>
      </c>
      <c r="D33" s="10">
        <v>20</v>
      </c>
      <c r="E33" s="9">
        <v>300</v>
      </c>
    </row>
    <row r="34" spans="1:5" x14ac:dyDescent="0.35">
      <c r="A34" s="10" t="s">
        <v>66</v>
      </c>
      <c r="B34" s="10">
        <v>100</v>
      </c>
      <c r="C34" s="10">
        <v>220</v>
      </c>
      <c r="D34" s="10">
        <v>22</v>
      </c>
      <c r="E34" s="9">
        <v>298</v>
      </c>
    </row>
    <row r="35" spans="1:5" x14ac:dyDescent="0.35">
      <c r="A35" s="10" t="s">
        <v>66</v>
      </c>
      <c r="B35" s="10">
        <v>100</v>
      </c>
      <c r="C35" s="10">
        <v>220</v>
      </c>
      <c r="D35" s="10">
        <v>19</v>
      </c>
      <c r="E35" s="9">
        <v>301</v>
      </c>
    </row>
    <row r="36" spans="1:5" x14ac:dyDescent="0.35">
      <c r="A36" s="10" t="s">
        <v>66</v>
      </c>
      <c r="B36" s="10">
        <v>100</v>
      </c>
      <c r="C36" s="10">
        <v>220</v>
      </c>
      <c r="D36" s="10">
        <v>18</v>
      </c>
      <c r="E36" s="9">
        <v>302</v>
      </c>
    </row>
    <row r="37" spans="1:5" x14ac:dyDescent="0.35">
      <c r="A37" s="10" t="s">
        <v>66</v>
      </c>
      <c r="B37" s="10">
        <v>100</v>
      </c>
      <c r="C37" s="10">
        <v>220</v>
      </c>
      <c r="D37" s="10">
        <v>21</v>
      </c>
      <c r="E37" s="9">
        <v>299</v>
      </c>
    </row>
    <row r="38" spans="1:5" x14ac:dyDescent="0.35">
      <c r="A38" s="10" t="s">
        <v>66</v>
      </c>
      <c r="B38" s="10">
        <v>100</v>
      </c>
      <c r="C38" s="10">
        <v>200</v>
      </c>
      <c r="D38" s="10">
        <v>12</v>
      </c>
      <c r="E38" s="9">
        <v>288</v>
      </c>
    </row>
    <row r="39" spans="1:5" x14ac:dyDescent="0.35">
      <c r="A39" s="10" t="s">
        <v>66</v>
      </c>
      <c r="B39" s="10">
        <v>100</v>
      </c>
      <c r="C39" s="10">
        <v>200</v>
      </c>
      <c r="D39" s="10">
        <v>14</v>
      </c>
      <c r="E39" s="9">
        <v>286</v>
      </c>
    </row>
    <row r="40" spans="1:5" x14ac:dyDescent="0.35">
      <c r="A40" s="10" t="s">
        <v>66</v>
      </c>
      <c r="B40" s="10">
        <v>100</v>
      </c>
      <c r="C40" s="10">
        <v>200</v>
      </c>
      <c r="D40" s="10">
        <v>16</v>
      </c>
      <c r="E40" s="9">
        <v>284</v>
      </c>
    </row>
    <row r="41" spans="1:5" x14ac:dyDescent="0.35">
      <c r="A41" s="10" t="s">
        <v>66</v>
      </c>
      <c r="B41" s="10">
        <v>100</v>
      </c>
      <c r="C41" s="10">
        <v>200</v>
      </c>
      <c r="D41" s="10">
        <v>15</v>
      </c>
      <c r="E41" s="9">
        <v>285</v>
      </c>
    </row>
    <row r="42" spans="1:5" x14ac:dyDescent="0.35">
      <c r="A42" s="10" t="s">
        <v>66</v>
      </c>
      <c r="B42" s="10">
        <v>100</v>
      </c>
      <c r="C42" s="10">
        <v>200</v>
      </c>
      <c r="D42" s="10">
        <v>18</v>
      </c>
      <c r="E42" s="9">
        <v>282</v>
      </c>
    </row>
    <row r="43" spans="1:5" x14ac:dyDescent="0.35">
      <c r="A43" s="10" t="s">
        <v>66</v>
      </c>
      <c r="B43" s="10">
        <v>100</v>
      </c>
      <c r="C43" s="10">
        <v>200</v>
      </c>
      <c r="D43" s="10">
        <v>20</v>
      </c>
      <c r="E43" s="9">
        <v>280</v>
      </c>
    </row>
    <row r="44" spans="1:5" x14ac:dyDescent="0.35">
      <c r="A44" s="10" t="s">
        <v>66</v>
      </c>
      <c r="B44" s="10">
        <v>100</v>
      </c>
      <c r="C44" s="10">
        <v>200</v>
      </c>
      <c r="D44" s="10">
        <v>22</v>
      </c>
      <c r="E44" s="9">
        <v>278</v>
      </c>
    </row>
    <row r="45" spans="1:5" x14ac:dyDescent="0.35">
      <c r="A45" s="10" t="s">
        <v>66</v>
      </c>
      <c r="B45" s="10">
        <v>100</v>
      </c>
      <c r="C45" s="10">
        <v>200</v>
      </c>
      <c r="D45" s="10">
        <v>19</v>
      </c>
      <c r="E45" s="9">
        <v>281</v>
      </c>
    </row>
    <row r="46" spans="1:5" x14ac:dyDescent="0.35">
      <c r="A46" s="10" t="s">
        <v>66</v>
      </c>
      <c r="B46" s="10">
        <v>100</v>
      </c>
      <c r="C46" s="10">
        <v>200</v>
      </c>
      <c r="D46" s="10">
        <v>18</v>
      </c>
      <c r="E46" s="9">
        <v>282</v>
      </c>
    </row>
    <row r="47" spans="1:5" x14ac:dyDescent="0.35">
      <c r="A47" s="10" t="s">
        <v>66</v>
      </c>
      <c r="B47" s="10">
        <v>100</v>
      </c>
      <c r="C47" s="10">
        <v>200</v>
      </c>
      <c r="D47" s="10">
        <v>21</v>
      </c>
      <c r="E47" s="9">
        <v>279</v>
      </c>
    </row>
    <row r="48" spans="1:5" x14ac:dyDescent="0.35">
      <c r="A48" s="10" t="s">
        <v>66</v>
      </c>
      <c r="B48" s="10">
        <v>100</v>
      </c>
      <c r="C48" s="10">
        <v>210</v>
      </c>
      <c r="D48" s="10">
        <v>12</v>
      </c>
      <c r="E48" s="9">
        <v>298</v>
      </c>
    </row>
    <row r="49" spans="1:5" x14ac:dyDescent="0.35">
      <c r="A49" s="10" t="s">
        <v>66</v>
      </c>
      <c r="B49" s="10">
        <v>100</v>
      </c>
      <c r="C49" s="10">
        <v>210</v>
      </c>
      <c r="D49" s="10">
        <v>14</v>
      </c>
      <c r="E49" s="9">
        <v>296</v>
      </c>
    </row>
    <row r="50" spans="1:5" x14ac:dyDescent="0.35">
      <c r="A50" s="10" t="s">
        <v>66</v>
      </c>
      <c r="B50" s="10">
        <v>100</v>
      </c>
      <c r="C50" s="10">
        <v>210</v>
      </c>
      <c r="D50" s="10">
        <v>16</v>
      </c>
      <c r="E50" s="9">
        <v>294</v>
      </c>
    </row>
    <row r="51" spans="1:5" x14ac:dyDescent="0.35">
      <c r="A51" s="10" t="s">
        <v>66</v>
      </c>
      <c r="B51" s="10">
        <v>100</v>
      </c>
      <c r="C51" s="10">
        <v>210</v>
      </c>
      <c r="D51" s="10">
        <v>15</v>
      </c>
      <c r="E51" s="9">
        <v>295</v>
      </c>
    </row>
    <row r="52" spans="1:5" x14ac:dyDescent="0.35">
      <c r="A52" s="10" t="s">
        <v>66</v>
      </c>
      <c r="B52" s="10">
        <v>100</v>
      </c>
      <c r="C52" s="10">
        <v>210</v>
      </c>
      <c r="D52" s="10">
        <v>18</v>
      </c>
      <c r="E52" s="9">
        <v>292</v>
      </c>
    </row>
    <row r="53" spans="1:5" x14ac:dyDescent="0.35">
      <c r="A53" s="10" t="s">
        <v>66</v>
      </c>
      <c r="B53" s="10">
        <v>100</v>
      </c>
      <c r="C53" s="10">
        <v>210</v>
      </c>
      <c r="D53" s="10">
        <v>20</v>
      </c>
      <c r="E53" s="9">
        <v>290</v>
      </c>
    </row>
    <row r="54" spans="1:5" x14ac:dyDescent="0.35">
      <c r="A54" s="10" t="s">
        <v>66</v>
      </c>
      <c r="B54" s="10">
        <v>100</v>
      </c>
      <c r="C54" s="10">
        <v>210</v>
      </c>
      <c r="D54" s="10">
        <v>22</v>
      </c>
      <c r="E54" s="9">
        <v>288</v>
      </c>
    </row>
    <row r="55" spans="1:5" x14ac:dyDescent="0.35">
      <c r="A55" s="10" t="s">
        <v>66</v>
      </c>
      <c r="B55" s="10">
        <v>100</v>
      </c>
      <c r="C55" s="10">
        <v>210</v>
      </c>
      <c r="D55" s="10">
        <v>19</v>
      </c>
      <c r="E55" s="9">
        <v>291</v>
      </c>
    </row>
    <row r="56" spans="1:5" x14ac:dyDescent="0.35">
      <c r="A56" s="10" t="s">
        <v>66</v>
      </c>
      <c r="B56" s="10">
        <v>100</v>
      </c>
      <c r="C56" s="10">
        <v>210</v>
      </c>
      <c r="D56" s="10">
        <v>18</v>
      </c>
      <c r="E56" s="9">
        <v>292</v>
      </c>
    </row>
    <row r="57" spans="1:5" x14ac:dyDescent="0.35">
      <c r="A57" s="10" t="s">
        <v>66</v>
      </c>
      <c r="B57" s="10">
        <v>100</v>
      </c>
      <c r="C57" s="10">
        <v>210</v>
      </c>
      <c r="D57" s="10">
        <v>21</v>
      </c>
      <c r="E57" s="9">
        <v>289</v>
      </c>
    </row>
    <row r="58" spans="1:5" x14ac:dyDescent="0.35">
      <c r="A58" s="10" t="s">
        <v>66</v>
      </c>
      <c r="B58" s="10">
        <v>100</v>
      </c>
      <c r="C58" s="10">
        <v>200</v>
      </c>
      <c r="D58" s="10">
        <v>12</v>
      </c>
      <c r="E58" s="9">
        <v>288</v>
      </c>
    </row>
    <row r="59" spans="1:5" x14ac:dyDescent="0.35">
      <c r="A59" s="10" t="s">
        <v>66</v>
      </c>
      <c r="B59" s="10">
        <v>100</v>
      </c>
      <c r="C59" s="10">
        <v>200</v>
      </c>
      <c r="D59" s="10">
        <v>14</v>
      </c>
      <c r="E59" s="9">
        <v>286</v>
      </c>
    </row>
    <row r="60" spans="1:5" x14ac:dyDescent="0.35">
      <c r="A60" s="10" t="s">
        <v>66</v>
      </c>
      <c r="B60" s="10">
        <v>100</v>
      </c>
      <c r="C60" s="10">
        <v>200</v>
      </c>
      <c r="D60" s="10">
        <v>16</v>
      </c>
      <c r="E60" s="9">
        <v>284</v>
      </c>
    </row>
    <row r="61" spans="1:5" x14ac:dyDescent="0.35">
      <c r="A61" s="10" t="s">
        <v>66</v>
      </c>
      <c r="B61" s="10">
        <v>100</v>
      </c>
      <c r="C61" s="10">
        <v>200</v>
      </c>
      <c r="D61" s="10">
        <v>15</v>
      </c>
      <c r="E61" s="9">
        <v>285</v>
      </c>
    </row>
    <row r="62" spans="1:5" x14ac:dyDescent="0.35">
      <c r="A62" s="10" t="s">
        <v>66</v>
      </c>
      <c r="B62" s="10">
        <v>100</v>
      </c>
      <c r="C62" s="10">
        <v>200</v>
      </c>
      <c r="D62" s="10">
        <v>18</v>
      </c>
      <c r="E62" s="9">
        <v>282</v>
      </c>
    </row>
    <row r="63" spans="1:5" x14ac:dyDescent="0.35">
      <c r="A63" s="10" t="s">
        <v>66</v>
      </c>
      <c r="B63" s="10">
        <v>100</v>
      </c>
      <c r="C63" s="10">
        <v>200</v>
      </c>
      <c r="D63" s="10">
        <v>20</v>
      </c>
      <c r="E63" s="9">
        <v>280</v>
      </c>
    </row>
    <row r="64" spans="1:5" x14ac:dyDescent="0.35">
      <c r="A64" s="10" t="s">
        <v>66</v>
      </c>
      <c r="B64" s="10">
        <v>100</v>
      </c>
      <c r="C64" s="10">
        <v>200</v>
      </c>
      <c r="D64" s="10">
        <v>22</v>
      </c>
      <c r="E64" s="9">
        <v>278</v>
      </c>
    </row>
    <row r="65" spans="1:5" x14ac:dyDescent="0.35">
      <c r="A65" s="10" t="s">
        <v>66</v>
      </c>
      <c r="B65" s="10">
        <v>100</v>
      </c>
      <c r="C65" s="10">
        <v>200</v>
      </c>
      <c r="D65" s="10">
        <v>19</v>
      </c>
      <c r="E65" s="9">
        <v>281</v>
      </c>
    </row>
    <row r="66" spans="1:5" x14ac:dyDescent="0.35">
      <c r="A66" s="10" t="s">
        <v>66</v>
      </c>
      <c r="B66" s="10">
        <v>100</v>
      </c>
      <c r="C66" s="10">
        <v>200</v>
      </c>
      <c r="D66" s="10">
        <v>18</v>
      </c>
      <c r="E66" s="9">
        <v>282</v>
      </c>
    </row>
    <row r="67" spans="1:5" x14ac:dyDescent="0.35">
      <c r="A67" s="10" t="s">
        <v>66</v>
      </c>
      <c r="B67" s="10">
        <v>100</v>
      </c>
      <c r="C67" s="10">
        <v>200</v>
      </c>
      <c r="D67" s="10">
        <v>21</v>
      </c>
      <c r="E67" s="9">
        <v>279</v>
      </c>
    </row>
    <row r="68" spans="1:5" x14ac:dyDescent="0.35">
      <c r="A68" s="10" t="s">
        <v>66</v>
      </c>
      <c r="B68" s="10">
        <v>100</v>
      </c>
      <c r="C68" s="10">
        <v>210</v>
      </c>
      <c r="D68" s="10">
        <v>12</v>
      </c>
      <c r="E68" s="9">
        <v>298</v>
      </c>
    </row>
    <row r="69" spans="1:5" x14ac:dyDescent="0.35">
      <c r="A69" s="10" t="s">
        <v>66</v>
      </c>
      <c r="B69" s="10">
        <v>100</v>
      </c>
      <c r="C69" s="10">
        <v>210</v>
      </c>
      <c r="D69" s="10">
        <v>14</v>
      </c>
      <c r="E69" s="9">
        <v>296</v>
      </c>
    </row>
    <row r="70" spans="1:5" x14ac:dyDescent="0.35">
      <c r="A70" s="10" t="s">
        <v>66</v>
      </c>
      <c r="B70" s="10">
        <v>100</v>
      </c>
      <c r="C70" s="10">
        <v>210</v>
      </c>
      <c r="D70" s="10">
        <v>16</v>
      </c>
      <c r="E70" s="9">
        <v>294</v>
      </c>
    </row>
    <row r="71" spans="1:5" x14ac:dyDescent="0.35">
      <c r="A71" s="10" t="s">
        <v>66</v>
      </c>
      <c r="B71" s="10">
        <v>100</v>
      </c>
      <c r="C71" s="10">
        <v>210</v>
      </c>
      <c r="D71" s="10">
        <v>15</v>
      </c>
      <c r="E71" s="9">
        <v>295</v>
      </c>
    </row>
    <row r="72" spans="1:5" x14ac:dyDescent="0.35">
      <c r="A72" s="10" t="s">
        <v>66</v>
      </c>
      <c r="B72" s="10">
        <v>100</v>
      </c>
      <c r="C72" s="10">
        <v>210</v>
      </c>
      <c r="D72" s="10">
        <v>18</v>
      </c>
      <c r="E72" s="9">
        <v>292</v>
      </c>
    </row>
    <row r="73" spans="1:5" x14ac:dyDescent="0.35">
      <c r="A73" s="10" t="s">
        <v>66</v>
      </c>
      <c r="B73" s="10">
        <v>100</v>
      </c>
      <c r="C73" s="10">
        <v>210</v>
      </c>
      <c r="D73" s="10">
        <v>20</v>
      </c>
      <c r="E73" s="9">
        <v>290</v>
      </c>
    </row>
    <row r="74" spans="1:5" x14ac:dyDescent="0.35">
      <c r="A74" s="10" t="s">
        <v>66</v>
      </c>
      <c r="B74" s="10">
        <v>100</v>
      </c>
      <c r="C74" s="10">
        <v>210</v>
      </c>
      <c r="D74" s="10">
        <v>22</v>
      </c>
      <c r="E74" s="9">
        <v>288</v>
      </c>
    </row>
    <row r="75" spans="1:5" x14ac:dyDescent="0.35">
      <c r="A75" s="10" t="s">
        <v>66</v>
      </c>
      <c r="B75" s="10">
        <v>100</v>
      </c>
      <c r="C75" s="10">
        <v>210</v>
      </c>
      <c r="D75" s="10">
        <v>19</v>
      </c>
      <c r="E75" s="9">
        <v>291</v>
      </c>
    </row>
    <row r="76" spans="1:5" x14ac:dyDescent="0.35">
      <c r="A76" s="10" t="s">
        <v>66</v>
      </c>
      <c r="B76" s="10">
        <v>100</v>
      </c>
      <c r="C76" s="10">
        <v>210</v>
      </c>
      <c r="D76" s="10">
        <v>18</v>
      </c>
      <c r="E76" s="9">
        <v>292</v>
      </c>
    </row>
    <row r="77" spans="1:5" x14ac:dyDescent="0.35">
      <c r="A77" s="10" t="s">
        <v>66</v>
      </c>
      <c r="B77" s="10">
        <v>100</v>
      </c>
      <c r="C77" s="10">
        <v>210</v>
      </c>
      <c r="D77" s="10">
        <v>21</v>
      </c>
      <c r="E77" s="9">
        <v>289</v>
      </c>
    </row>
    <row r="78" spans="1:5" x14ac:dyDescent="0.35">
      <c r="A78" s="10" t="s">
        <v>20</v>
      </c>
      <c r="B78" s="10">
        <v>120</v>
      </c>
      <c r="C78" s="10">
        <v>300</v>
      </c>
      <c r="D78" s="10">
        <v>24</v>
      </c>
      <c r="E78" s="9">
        <v>396</v>
      </c>
    </row>
    <row r="79" spans="1:5" x14ac:dyDescent="0.35">
      <c r="A79" s="10" t="s">
        <v>20</v>
      </c>
      <c r="B79" s="10">
        <v>120</v>
      </c>
      <c r="C79" s="10">
        <v>300</v>
      </c>
      <c r="D79" s="10">
        <v>30</v>
      </c>
      <c r="E79" s="9">
        <v>390</v>
      </c>
    </row>
    <row r="80" spans="1:5" x14ac:dyDescent="0.35">
      <c r="A80" s="10" t="s">
        <v>20</v>
      </c>
      <c r="B80" s="10">
        <v>120</v>
      </c>
      <c r="C80" s="10">
        <v>300</v>
      </c>
      <c r="D80" s="10">
        <v>26</v>
      </c>
      <c r="E80" s="9">
        <v>394</v>
      </c>
    </row>
    <row r="81" spans="1:5" x14ac:dyDescent="0.35">
      <c r="A81" s="10" t="s">
        <v>20</v>
      </c>
      <c r="B81" s="10">
        <v>120</v>
      </c>
      <c r="C81" s="10">
        <v>300</v>
      </c>
      <c r="D81" s="10">
        <v>28</v>
      </c>
      <c r="E81" s="9">
        <v>392</v>
      </c>
    </row>
    <row r="82" spans="1:5" x14ac:dyDescent="0.35">
      <c r="A82" s="10" t="s">
        <v>20</v>
      </c>
      <c r="B82" s="10">
        <v>120</v>
      </c>
      <c r="C82" s="10">
        <v>300</v>
      </c>
      <c r="D82" s="10">
        <v>35</v>
      </c>
      <c r="E82" s="9">
        <v>385</v>
      </c>
    </row>
    <row r="83" spans="1:5" x14ac:dyDescent="0.35">
      <c r="A83" s="10" t="s">
        <v>20</v>
      </c>
      <c r="B83" s="10">
        <v>120</v>
      </c>
      <c r="C83" s="10">
        <v>300</v>
      </c>
      <c r="D83" s="10">
        <v>38</v>
      </c>
      <c r="E83" s="9">
        <v>382</v>
      </c>
    </row>
    <row r="84" spans="1:5" x14ac:dyDescent="0.35">
      <c r="A84" s="10" t="s">
        <v>20</v>
      </c>
      <c r="B84" s="10">
        <v>120</v>
      </c>
      <c r="C84" s="10">
        <v>300</v>
      </c>
      <c r="D84" s="10">
        <v>40</v>
      </c>
      <c r="E84" s="9">
        <v>380</v>
      </c>
    </row>
    <row r="85" spans="1:5" x14ac:dyDescent="0.35">
      <c r="A85" s="10" t="s">
        <v>20</v>
      </c>
      <c r="B85" s="10">
        <v>120</v>
      </c>
      <c r="C85" s="10">
        <v>300</v>
      </c>
      <c r="D85" s="10">
        <v>34</v>
      </c>
      <c r="E85" s="9">
        <v>386</v>
      </c>
    </row>
    <row r="86" spans="1:5" x14ac:dyDescent="0.35">
      <c r="A86" s="10" t="s">
        <v>20</v>
      </c>
      <c r="B86" s="10">
        <v>120</v>
      </c>
      <c r="C86" s="10">
        <v>300</v>
      </c>
      <c r="D86" s="10">
        <v>32</v>
      </c>
      <c r="E86" s="9">
        <v>388</v>
      </c>
    </row>
    <row r="87" spans="1:5" x14ac:dyDescent="0.35">
      <c r="A87" s="10" t="s">
        <v>20</v>
      </c>
      <c r="B87" s="10">
        <v>120</v>
      </c>
      <c r="C87" s="10">
        <v>300</v>
      </c>
      <c r="D87" s="10">
        <v>36</v>
      </c>
      <c r="E87" s="9">
        <v>384</v>
      </c>
    </row>
    <row r="88" spans="1:5" x14ac:dyDescent="0.35">
      <c r="A88" s="10" t="s">
        <v>20</v>
      </c>
      <c r="B88" s="10">
        <v>120</v>
      </c>
      <c r="C88" s="10">
        <v>350</v>
      </c>
      <c r="D88" s="10">
        <v>24</v>
      </c>
      <c r="E88" s="9">
        <v>446</v>
      </c>
    </row>
    <row r="89" spans="1:5" x14ac:dyDescent="0.35">
      <c r="A89" s="10" t="s">
        <v>20</v>
      </c>
      <c r="B89" s="10">
        <v>120</v>
      </c>
      <c r="C89" s="10">
        <v>350</v>
      </c>
      <c r="D89" s="10">
        <v>30</v>
      </c>
      <c r="E89" s="9">
        <v>440</v>
      </c>
    </row>
    <row r="90" spans="1:5" x14ac:dyDescent="0.35">
      <c r="A90" s="10" t="s">
        <v>20</v>
      </c>
      <c r="B90" s="10">
        <v>120</v>
      </c>
      <c r="C90" s="10">
        <v>350</v>
      </c>
      <c r="D90" s="10">
        <v>26</v>
      </c>
      <c r="E90" s="9">
        <v>444</v>
      </c>
    </row>
    <row r="91" spans="1:5" x14ac:dyDescent="0.35">
      <c r="A91" s="10" t="s">
        <v>20</v>
      </c>
      <c r="B91" s="10">
        <v>120</v>
      </c>
      <c r="C91" s="10">
        <v>350</v>
      </c>
      <c r="D91" s="10">
        <v>28</v>
      </c>
      <c r="E91" s="9">
        <v>442</v>
      </c>
    </row>
    <row r="92" spans="1:5" x14ac:dyDescent="0.35">
      <c r="A92" s="10" t="s">
        <v>20</v>
      </c>
      <c r="B92" s="10">
        <v>120</v>
      </c>
      <c r="C92" s="10">
        <v>350</v>
      </c>
      <c r="D92" s="10">
        <v>35</v>
      </c>
      <c r="E92" s="9">
        <v>435</v>
      </c>
    </row>
    <row r="93" spans="1:5" x14ac:dyDescent="0.35">
      <c r="A93" s="10" t="s">
        <v>20</v>
      </c>
      <c r="B93" s="10">
        <v>120</v>
      </c>
      <c r="C93" s="10">
        <v>350</v>
      </c>
      <c r="D93" s="10">
        <v>38</v>
      </c>
      <c r="E93" s="9">
        <v>432</v>
      </c>
    </row>
    <row r="94" spans="1:5" x14ac:dyDescent="0.35">
      <c r="A94" s="10" t="s">
        <v>20</v>
      </c>
      <c r="B94" s="10">
        <v>120</v>
      </c>
      <c r="C94" s="10">
        <v>350</v>
      </c>
      <c r="D94" s="10">
        <v>40</v>
      </c>
      <c r="E94" s="9">
        <v>430</v>
      </c>
    </row>
    <row r="95" spans="1:5" x14ac:dyDescent="0.35">
      <c r="A95" s="10" t="s">
        <v>20</v>
      </c>
      <c r="B95" s="10">
        <v>120</v>
      </c>
      <c r="C95" s="10">
        <v>350</v>
      </c>
      <c r="D95" s="10">
        <v>34</v>
      </c>
      <c r="E95" s="9">
        <v>436</v>
      </c>
    </row>
    <row r="96" spans="1:5" x14ac:dyDescent="0.35">
      <c r="A96" s="10" t="s">
        <v>20</v>
      </c>
      <c r="B96" s="10">
        <v>120</v>
      </c>
      <c r="C96" s="10">
        <v>350</v>
      </c>
      <c r="D96" s="10">
        <v>32</v>
      </c>
      <c r="E96" s="9">
        <v>438</v>
      </c>
    </row>
    <row r="97" spans="1:5" x14ac:dyDescent="0.35">
      <c r="A97" s="10" t="s">
        <v>20</v>
      </c>
      <c r="B97" s="10">
        <v>120</v>
      </c>
      <c r="C97" s="10">
        <v>350</v>
      </c>
      <c r="D97" s="10">
        <v>36</v>
      </c>
      <c r="E97" s="9">
        <v>434</v>
      </c>
    </row>
    <row r="98" spans="1:5" x14ac:dyDescent="0.35">
      <c r="A98" s="10" t="s">
        <v>20</v>
      </c>
      <c r="B98" s="10">
        <v>120</v>
      </c>
      <c r="C98" s="10">
        <v>320</v>
      </c>
      <c r="D98" s="10">
        <v>24</v>
      </c>
      <c r="E98" s="9">
        <v>416</v>
      </c>
    </row>
    <row r="99" spans="1:5" x14ac:dyDescent="0.35">
      <c r="A99" s="10" t="s">
        <v>20</v>
      </c>
      <c r="B99" s="10">
        <v>120</v>
      </c>
      <c r="C99" s="10">
        <v>320</v>
      </c>
      <c r="D99" s="10">
        <v>30</v>
      </c>
      <c r="E99" s="9">
        <v>410</v>
      </c>
    </row>
    <row r="100" spans="1:5" x14ac:dyDescent="0.35">
      <c r="A100" s="10" t="s">
        <v>20</v>
      </c>
      <c r="B100" s="10">
        <v>120</v>
      </c>
      <c r="C100" s="10">
        <v>320</v>
      </c>
      <c r="D100" s="10">
        <v>26</v>
      </c>
      <c r="E100" s="9">
        <v>414</v>
      </c>
    </row>
    <row r="101" spans="1:5" x14ac:dyDescent="0.35">
      <c r="A101" s="10" t="s">
        <v>20</v>
      </c>
      <c r="B101" s="10">
        <v>120</v>
      </c>
      <c r="C101" s="10">
        <v>320</v>
      </c>
      <c r="D101" s="10">
        <v>28</v>
      </c>
      <c r="E101" s="9">
        <v>412</v>
      </c>
    </row>
    <row r="102" spans="1:5" x14ac:dyDescent="0.35">
      <c r="A102" s="10" t="s">
        <v>20</v>
      </c>
      <c r="B102" s="10">
        <v>120</v>
      </c>
      <c r="C102" s="10">
        <v>320</v>
      </c>
      <c r="D102" s="10">
        <v>35</v>
      </c>
      <c r="E102" s="9">
        <v>405</v>
      </c>
    </row>
    <row r="103" spans="1:5" x14ac:dyDescent="0.35">
      <c r="A103" s="10" t="s">
        <v>20</v>
      </c>
      <c r="B103" s="10">
        <v>120</v>
      </c>
      <c r="C103" s="10">
        <v>320</v>
      </c>
      <c r="D103" s="10">
        <v>38</v>
      </c>
      <c r="E103" s="10">
        <v>402</v>
      </c>
    </row>
    <row r="104" spans="1:5" x14ac:dyDescent="0.35">
      <c r="A104" s="10" t="s">
        <v>20</v>
      </c>
      <c r="B104" s="10">
        <v>120</v>
      </c>
      <c r="C104" s="10">
        <v>320</v>
      </c>
      <c r="D104" s="10">
        <v>40</v>
      </c>
      <c r="E104" s="10">
        <v>400</v>
      </c>
    </row>
    <row r="105" spans="1:5" x14ac:dyDescent="0.35">
      <c r="A105" s="10" t="s">
        <v>20</v>
      </c>
      <c r="B105" s="10">
        <v>120</v>
      </c>
      <c r="C105" s="10">
        <v>320</v>
      </c>
      <c r="D105" s="10">
        <v>34</v>
      </c>
      <c r="E105" s="10">
        <v>406</v>
      </c>
    </row>
    <row r="106" spans="1:5" x14ac:dyDescent="0.35">
      <c r="A106" s="10" t="s">
        <v>20</v>
      </c>
      <c r="B106" s="10">
        <v>120</v>
      </c>
      <c r="C106" s="10">
        <v>320</v>
      </c>
      <c r="D106" s="10">
        <v>32</v>
      </c>
      <c r="E106" s="10">
        <v>408</v>
      </c>
    </row>
    <row r="107" spans="1:5" x14ac:dyDescent="0.35">
      <c r="A107" s="10" t="s">
        <v>20</v>
      </c>
      <c r="B107" s="10">
        <v>120</v>
      </c>
      <c r="C107" s="10">
        <v>320</v>
      </c>
      <c r="D107" s="10">
        <v>36</v>
      </c>
      <c r="E107" s="10">
        <v>404</v>
      </c>
    </row>
    <row r="108" spans="1:5" x14ac:dyDescent="0.35">
      <c r="A108" s="10" t="s">
        <v>20</v>
      </c>
      <c r="B108" s="10">
        <v>120</v>
      </c>
      <c r="C108" s="10">
        <v>350</v>
      </c>
      <c r="D108" s="10">
        <v>24</v>
      </c>
      <c r="E108" s="10">
        <v>446</v>
      </c>
    </row>
    <row r="109" spans="1:5" x14ac:dyDescent="0.35">
      <c r="A109" s="10" t="s">
        <v>20</v>
      </c>
      <c r="B109" s="10">
        <v>120</v>
      </c>
      <c r="C109" s="10">
        <v>350</v>
      </c>
      <c r="D109" s="10">
        <v>30</v>
      </c>
      <c r="E109" s="10">
        <v>440</v>
      </c>
    </row>
    <row r="110" spans="1:5" x14ac:dyDescent="0.35">
      <c r="A110" s="10" t="s">
        <v>20</v>
      </c>
      <c r="B110" s="10">
        <v>120</v>
      </c>
      <c r="C110" s="10">
        <v>350</v>
      </c>
      <c r="D110" s="10">
        <v>26</v>
      </c>
      <c r="E110" s="10">
        <v>444</v>
      </c>
    </row>
    <row r="111" spans="1:5" x14ac:dyDescent="0.35">
      <c r="A111" s="10" t="s">
        <v>20</v>
      </c>
      <c r="B111" s="10">
        <v>120</v>
      </c>
      <c r="C111" s="10">
        <v>350</v>
      </c>
      <c r="D111" s="10">
        <v>28</v>
      </c>
      <c r="E111" s="10">
        <v>442</v>
      </c>
    </row>
    <row r="112" spans="1:5" x14ac:dyDescent="0.35">
      <c r="A112" s="10" t="s">
        <v>20</v>
      </c>
      <c r="B112" s="10">
        <v>120</v>
      </c>
      <c r="C112" s="10">
        <v>350</v>
      </c>
      <c r="D112" s="10">
        <v>35</v>
      </c>
      <c r="E112" s="10">
        <v>435</v>
      </c>
    </row>
    <row r="113" spans="1:5" x14ac:dyDescent="0.35">
      <c r="A113" s="10" t="s">
        <v>20</v>
      </c>
      <c r="B113" s="10">
        <v>120</v>
      </c>
      <c r="C113" s="10">
        <v>350</v>
      </c>
      <c r="D113" s="10">
        <v>38</v>
      </c>
      <c r="E113" s="10">
        <v>432</v>
      </c>
    </row>
    <row r="114" spans="1:5" x14ac:dyDescent="0.35">
      <c r="A114" s="10" t="s">
        <v>20</v>
      </c>
      <c r="B114" s="10">
        <v>120</v>
      </c>
      <c r="C114" s="10">
        <v>350</v>
      </c>
      <c r="D114" s="10">
        <v>40</v>
      </c>
      <c r="E114" s="10">
        <v>430</v>
      </c>
    </row>
    <row r="115" spans="1:5" x14ac:dyDescent="0.35">
      <c r="A115" s="10" t="s">
        <v>20</v>
      </c>
      <c r="B115" s="10">
        <v>120</v>
      </c>
      <c r="C115" s="10">
        <v>350</v>
      </c>
      <c r="D115" s="10">
        <v>34</v>
      </c>
      <c r="E115" s="10">
        <v>436</v>
      </c>
    </row>
    <row r="116" spans="1:5" x14ac:dyDescent="0.35">
      <c r="A116" s="10" t="s">
        <v>20</v>
      </c>
      <c r="B116" s="10">
        <v>120</v>
      </c>
      <c r="C116" s="10">
        <v>350</v>
      </c>
      <c r="D116" s="10">
        <v>32</v>
      </c>
      <c r="E116" s="10">
        <v>438</v>
      </c>
    </row>
    <row r="117" spans="1:5" x14ac:dyDescent="0.35">
      <c r="A117" s="10" t="s">
        <v>20</v>
      </c>
      <c r="B117" s="10">
        <v>120</v>
      </c>
      <c r="C117" s="10">
        <v>350</v>
      </c>
      <c r="D117" s="10">
        <v>36</v>
      </c>
      <c r="E117" s="10">
        <v>434</v>
      </c>
    </row>
    <row r="118" spans="1:5" x14ac:dyDescent="0.35">
      <c r="A118" s="10" t="s">
        <v>20</v>
      </c>
      <c r="B118" s="10">
        <v>120</v>
      </c>
      <c r="C118" s="10">
        <v>300</v>
      </c>
      <c r="D118" s="10">
        <v>24</v>
      </c>
      <c r="E118" s="10">
        <v>396</v>
      </c>
    </row>
    <row r="119" spans="1:5" x14ac:dyDescent="0.35">
      <c r="A119" s="10" t="s">
        <v>20</v>
      </c>
      <c r="B119" s="10">
        <v>120</v>
      </c>
      <c r="C119" s="10">
        <v>300</v>
      </c>
      <c r="D119" s="10">
        <v>30</v>
      </c>
      <c r="E119" s="10">
        <v>390</v>
      </c>
    </row>
    <row r="120" spans="1:5" x14ac:dyDescent="0.35">
      <c r="A120" s="10" t="s">
        <v>20</v>
      </c>
      <c r="B120" s="10">
        <v>120</v>
      </c>
      <c r="C120" s="10">
        <v>300</v>
      </c>
      <c r="D120" s="10">
        <v>26</v>
      </c>
      <c r="E120" s="10">
        <v>394</v>
      </c>
    </row>
    <row r="121" spans="1:5" x14ac:dyDescent="0.35">
      <c r="A121" s="10" t="s">
        <v>20</v>
      </c>
      <c r="B121" s="10">
        <v>120</v>
      </c>
      <c r="C121" s="10">
        <v>300</v>
      </c>
      <c r="D121" s="10">
        <v>28</v>
      </c>
      <c r="E121" s="10">
        <v>392</v>
      </c>
    </row>
    <row r="122" spans="1:5" x14ac:dyDescent="0.35">
      <c r="A122" s="10" t="s">
        <v>20</v>
      </c>
      <c r="B122" s="10">
        <v>120</v>
      </c>
      <c r="C122" s="10">
        <v>300</v>
      </c>
      <c r="D122" s="10">
        <v>35</v>
      </c>
      <c r="E122" s="10">
        <v>385</v>
      </c>
    </row>
    <row r="123" spans="1:5" x14ac:dyDescent="0.35">
      <c r="A123" s="10" t="s">
        <v>20</v>
      </c>
      <c r="B123" s="10">
        <v>120</v>
      </c>
      <c r="C123" s="10">
        <v>300</v>
      </c>
      <c r="D123" s="10">
        <v>38</v>
      </c>
      <c r="E123" s="10">
        <v>382</v>
      </c>
    </row>
    <row r="124" spans="1:5" x14ac:dyDescent="0.35">
      <c r="A124" s="10" t="s">
        <v>20</v>
      </c>
      <c r="B124" s="10">
        <v>120</v>
      </c>
      <c r="C124" s="10">
        <v>300</v>
      </c>
      <c r="D124" s="10">
        <v>40</v>
      </c>
      <c r="E124" s="10">
        <v>380</v>
      </c>
    </row>
    <row r="125" spans="1:5" x14ac:dyDescent="0.35">
      <c r="A125" s="10" t="s">
        <v>20</v>
      </c>
      <c r="B125" s="10">
        <v>120</v>
      </c>
      <c r="C125" s="10">
        <v>300</v>
      </c>
      <c r="D125" s="10">
        <v>34</v>
      </c>
      <c r="E125" s="10">
        <v>386</v>
      </c>
    </row>
    <row r="126" spans="1:5" x14ac:dyDescent="0.35">
      <c r="A126" s="10" t="s">
        <v>20</v>
      </c>
      <c r="B126" s="10">
        <v>120</v>
      </c>
      <c r="C126" s="10">
        <v>300</v>
      </c>
      <c r="D126" s="10">
        <v>32</v>
      </c>
      <c r="E126" s="10">
        <v>388</v>
      </c>
    </row>
    <row r="127" spans="1:5" x14ac:dyDescent="0.35">
      <c r="A127" s="10" t="s">
        <v>20</v>
      </c>
      <c r="B127" s="10">
        <v>120</v>
      </c>
      <c r="C127" s="10">
        <v>300</v>
      </c>
      <c r="D127" s="10">
        <v>36</v>
      </c>
      <c r="E127" s="10">
        <v>384</v>
      </c>
    </row>
    <row r="128" spans="1:5" x14ac:dyDescent="0.35">
      <c r="A128" s="10" t="s">
        <v>20</v>
      </c>
      <c r="B128" s="10">
        <v>120</v>
      </c>
      <c r="C128" s="10">
        <v>320</v>
      </c>
      <c r="D128" s="10">
        <v>24</v>
      </c>
      <c r="E128" s="10">
        <v>416</v>
      </c>
    </row>
    <row r="129" spans="1:5" x14ac:dyDescent="0.35">
      <c r="A129" s="10" t="s">
        <v>20</v>
      </c>
      <c r="B129" s="10">
        <v>120</v>
      </c>
      <c r="C129" s="10">
        <v>320</v>
      </c>
      <c r="D129" s="10">
        <v>30</v>
      </c>
      <c r="E129" s="10">
        <v>410</v>
      </c>
    </row>
    <row r="130" spans="1:5" x14ac:dyDescent="0.35">
      <c r="A130" s="10" t="s">
        <v>20</v>
      </c>
      <c r="B130" s="10">
        <v>120</v>
      </c>
      <c r="C130" s="10">
        <v>320</v>
      </c>
      <c r="D130" s="10">
        <v>26</v>
      </c>
      <c r="E130" s="10">
        <v>414</v>
      </c>
    </row>
    <row r="131" spans="1:5" x14ac:dyDescent="0.35">
      <c r="A131" s="10" t="s">
        <v>20</v>
      </c>
      <c r="B131" s="10">
        <v>120</v>
      </c>
      <c r="C131" s="10">
        <v>320</v>
      </c>
      <c r="D131" s="10">
        <v>28</v>
      </c>
      <c r="E131" s="10">
        <v>412</v>
      </c>
    </row>
    <row r="132" spans="1:5" x14ac:dyDescent="0.35">
      <c r="A132" s="10" t="s">
        <v>20</v>
      </c>
      <c r="B132" s="10">
        <v>120</v>
      </c>
      <c r="C132" s="10">
        <v>320</v>
      </c>
      <c r="D132" s="10">
        <v>35</v>
      </c>
      <c r="E132" s="10">
        <v>405</v>
      </c>
    </row>
    <row r="133" spans="1:5" x14ac:dyDescent="0.35">
      <c r="A133" s="10" t="s">
        <v>20</v>
      </c>
      <c r="B133" s="10">
        <v>120</v>
      </c>
      <c r="C133" s="10">
        <v>320</v>
      </c>
      <c r="D133" s="10">
        <v>38</v>
      </c>
      <c r="E133" s="10">
        <v>402</v>
      </c>
    </row>
    <row r="134" spans="1:5" x14ac:dyDescent="0.35">
      <c r="A134" s="10" t="s">
        <v>20</v>
      </c>
      <c r="B134" s="10">
        <v>120</v>
      </c>
      <c r="C134" s="10">
        <v>320</v>
      </c>
      <c r="D134" s="10">
        <v>40</v>
      </c>
      <c r="E134" s="10">
        <v>400</v>
      </c>
    </row>
    <row r="135" spans="1:5" x14ac:dyDescent="0.35">
      <c r="A135" s="10" t="s">
        <v>20</v>
      </c>
      <c r="B135" s="10">
        <v>120</v>
      </c>
      <c r="C135" s="10">
        <v>320</v>
      </c>
      <c r="D135" s="10">
        <v>34</v>
      </c>
      <c r="E135" s="10">
        <v>406</v>
      </c>
    </row>
    <row r="136" spans="1:5" x14ac:dyDescent="0.35">
      <c r="A136" s="10" t="s">
        <v>20</v>
      </c>
      <c r="B136" s="10">
        <v>120</v>
      </c>
      <c r="C136" s="10">
        <v>320</v>
      </c>
      <c r="D136" s="10">
        <v>32</v>
      </c>
      <c r="E136" s="10">
        <v>408</v>
      </c>
    </row>
    <row r="137" spans="1:5" x14ac:dyDescent="0.35">
      <c r="A137" s="10" t="s">
        <v>20</v>
      </c>
      <c r="B137" s="10">
        <v>120</v>
      </c>
      <c r="C137" s="10">
        <v>320</v>
      </c>
      <c r="D137" s="10">
        <v>36</v>
      </c>
      <c r="E137" s="10">
        <v>404</v>
      </c>
    </row>
    <row r="138" spans="1:5" x14ac:dyDescent="0.35">
      <c r="A138" s="10" t="s">
        <v>38</v>
      </c>
      <c r="B138" s="10">
        <v>100</v>
      </c>
      <c r="C138" s="10">
        <v>180</v>
      </c>
      <c r="D138" s="10">
        <v>18</v>
      </c>
      <c r="E138" s="10">
        <v>262</v>
      </c>
    </row>
    <row r="139" spans="1:5" x14ac:dyDescent="0.35">
      <c r="A139" s="10" t="s">
        <v>38</v>
      </c>
      <c r="B139" s="10">
        <v>100</v>
      </c>
      <c r="C139" s="10">
        <v>180</v>
      </c>
      <c r="D139" s="10">
        <v>20</v>
      </c>
      <c r="E139" s="10">
        <v>260</v>
      </c>
    </row>
    <row r="140" spans="1:5" x14ac:dyDescent="0.35">
      <c r="A140" s="10" t="s">
        <v>38</v>
      </c>
      <c r="B140" s="10">
        <v>100</v>
      </c>
      <c r="C140" s="10">
        <v>180</v>
      </c>
      <c r="D140" s="10">
        <v>21</v>
      </c>
      <c r="E140" s="10">
        <v>259</v>
      </c>
    </row>
    <row r="141" spans="1:5" x14ac:dyDescent="0.35">
      <c r="A141" s="10" t="s">
        <v>38</v>
      </c>
      <c r="B141" s="10">
        <v>100</v>
      </c>
      <c r="C141" s="10">
        <v>180</v>
      </c>
      <c r="D141" s="10">
        <v>19</v>
      </c>
      <c r="E141" s="10">
        <v>261</v>
      </c>
    </row>
    <row r="142" spans="1:5" x14ac:dyDescent="0.35">
      <c r="A142" s="10" t="s">
        <v>38</v>
      </c>
      <c r="B142" s="10">
        <v>100</v>
      </c>
      <c r="C142" s="10">
        <v>180</v>
      </c>
      <c r="D142" s="10">
        <v>25</v>
      </c>
      <c r="E142" s="10">
        <v>255</v>
      </c>
    </row>
    <row r="143" spans="1:5" x14ac:dyDescent="0.35">
      <c r="A143" s="10" t="s">
        <v>38</v>
      </c>
      <c r="B143" s="10">
        <v>100</v>
      </c>
      <c r="C143" s="10">
        <v>180</v>
      </c>
      <c r="D143" s="10">
        <v>28</v>
      </c>
      <c r="E143" s="10">
        <v>252</v>
      </c>
    </row>
    <row r="144" spans="1:5" x14ac:dyDescent="0.35">
      <c r="A144" s="10" t="s">
        <v>38</v>
      </c>
      <c r="B144" s="10">
        <v>100</v>
      </c>
      <c r="C144" s="10">
        <v>180</v>
      </c>
      <c r="D144" s="10">
        <v>30</v>
      </c>
      <c r="E144" s="10">
        <v>250</v>
      </c>
    </row>
    <row r="145" spans="1:5" x14ac:dyDescent="0.35">
      <c r="A145" s="10" t="s">
        <v>38</v>
      </c>
      <c r="B145" s="10">
        <v>100</v>
      </c>
      <c r="C145" s="10">
        <v>180</v>
      </c>
      <c r="D145" s="10">
        <v>26</v>
      </c>
      <c r="E145" s="10">
        <v>254</v>
      </c>
    </row>
    <row r="146" spans="1:5" x14ac:dyDescent="0.35">
      <c r="A146" s="10" t="s">
        <v>38</v>
      </c>
      <c r="B146" s="10">
        <v>100</v>
      </c>
      <c r="C146" s="10">
        <v>180</v>
      </c>
      <c r="D146" s="10">
        <v>24</v>
      </c>
      <c r="E146" s="10">
        <v>256</v>
      </c>
    </row>
    <row r="147" spans="1:5" x14ac:dyDescent="0.35">
      <c r="A147" s="10" t="s">
        <v>38</v>
      </c>
      <c r="B147" s="10">
        <v>100</v>
      </c>
      <c r="C147" s="10">
        <v>180</v>
      </c>
      <c r="D147" s="10">
        <v>23</v>
      </c>
      <c r="E147" s="10">
        <v>257</v>
      </c>
    </row>
    <row r="148" spans="1:5" x14ac:dyDescent="0.35">
      <c r="A148" s="10" t="s">
        <v>38</v>
      </c>
      <c r="B148" s="10">
        <v>100</v>
      </c>
      <c r="C148" s="10">
        <v>200</v>
      </c>
      <c r="D148" s="10">
        <v>18</v>
      </c>
      <c r="E148" s="10">
        <v>282</v>
      </c>
    </row>
    <row r="149" spans="1:5" x14ac:dyDescent="0.35">
      <c r="A149" s="10" t="s">
        <v>38</v>
      </c>
      <c r="B149" s="10">
        <v>100</v>
      </c>
      <c r="C149" s="10">
        <v>200</v>
      </c>
      <c r="D149" s="10">
        <v>20</v>
      </c>
      <c r="E149" s="10">
        <v>280</v>
      </c>
    </row>
    <row r="150" spans="1:5" x14ac:dyDescent="0.35">
      <c r="A150" s="10" t="s">
        <v>38</v>
      </c>
      <c r="B150" s="10">
        <v>100</v>
      </c>
      <c r="C150" s="10">
        <v>200</v>
      </c>
      <c r="D150" s="10">
        <v>21</v>
      </c>
      <c r="E150" s="10">
        <v>279</v>
      </c>
    </row>
    <row r="151" spans="1:5" x14ac:dyDescent="0.35">
      <c r="A151" s="10" t="s">
        <v>38</v>
      </c>
      <c r="B151" s="10">
        <v>100</v>
      </c>
      <c r="C151" s="10">
        <v>200</v>
      </c>
      <c r="D151" s="10">
        <v>19</v>
      </c>
      <c r="E151" s="10">
        <v>281</v>
      </c>
    </row>
    <row r="152" spans="1:5" x14ac:dyDescent="0.35">
      <c r="A152" s="10" t="s">
        <v>38</v>
      </c>
      <c r="B152" s="10">
        <v>100</v>
      </c>
      <c r="C152" s="10">
        <v>200</v>
      </c>
      <c r="D152" s="10">
        <v>25</v>
      </c>
      <c r="E152" s="10">
        <v>275</v>
      </c>
    </row>
    <row r="153" spans="1:5" x14ac:dyDescent="0.35">
      <c r="A153" s="10" t="s">
        <v>38</v>
      </c>
      <c r="B153" s="10">
        <v>100</v>
      </c>
      <c r="C153" s="10">
        <v>200</v>
      </c>
      <c r="D153" s="10">
        <v>28</v>
      </c>
      <c r="E153" s="10">
        <v>272</v>
      </c>
    </row>
    <row r="154" spans="1:5" x14ac:dyDescent="0.35">
      <c r="A154" s="10" t="s">
        <v>38</v>
      </c>
      <c r="B154" s="10">
        <v>100</v>
      </c>
      <c r="C154" s="10">
        <v>200</v>
      </c>
      <c r="D154" s="10">
        <v>30</v>
      </c>
      <c r="E154" s="10">
        <v>270</v>
      </c>
    </row>
    <row r="155" spans="1:5" x14ac:dyDescent="0.35">
      <c r="A155" s="10" t="s">
        <v>38</v>
      </c>
      <c r="B155" s="10">
        <v>100</v>
      </c>
      <c r="C155" s="10">
        <v>200</v>
      </c>
      <c r="D155" s="10">
        <v>26</v>
      </c>
      <c r="E155" s="10">
        <v>274</v>
      </c>
    </row>
    <row r="156" spans="1:5" x14ac:dyDescent="0.35">
      <c r="A156" s="10" t="s">
        <v>38</v>
      </c>
      <c r="B156" s="10">
        <v>100</v>
      </c>
      <c r="C156" s="10">
        <v>200</v>
      </c>
      <c r="D156" s="10">
        <v>24</v>
      </c>
      <c r="E156" s="10">
        <v>276</v>
      </c>
    </row>
    <row r="157" spans="1:5" x14ac:dyDescent="0.35">
      <c r="A157" s="10" t="s">
        <v>38</v>
      </c>
      <c r="B157" s="10">
        <v>100</v>
      </c>
      <c r="C157" s="10">
        <v>200</v>
      </c>
      <c r="D157" s="10">
        <v>23</v>
      </c>
      <c r="E157" s="10">
        <v>277</v>
      </c>
    </row>
    <row r="158" spans="1:5" x14ac:dyDescent="0.35">
      <c r="A158" s="10" t="s">
        <v>38</v>
      </c>
      <c r="B158" s="10">
        <v>100</v>
      </c>
      <c r="C158" s="10">
        <v>180</v>
      </c>
      <c r="D158" s="10">
        <v>18</v>
      </c>
      <c r="E158" s="10">
        <v>262</v>
      </c>
    </row>
    <row r="159" spans="1:5" x14ac:dyDescent="0.35">
      <c r="A159" s="10" t="s">
        <v>38</v>
      </c>
      <c r="B159" s="10">
        <v>100</v>
      </c>
      <c r="C159" s="10">
        <v>180</v>
      </c>
      <c r="D159" s="10">
        <v>20</v>
      </c>
      <c r="E159" s="10">
        <v>260</v>
      </c>
    </row>
    <row r="160" spans="1:5" x14ac:dyDescent="0.35">
      <c r="A160" s="10" t="s">
        <v>38</v>
      </c>
      <c r="B160" s="10">
        <v>100</v>
      </c>
      <c r="C160" s="10">
        <v>180</v>
      </c>
      <c r="D160" s="10">
        <v>21</v>
      </c>
      <c r="E160" s="10">
        <v>259</v>
      </c>
    </row>
    <row r="161" spans="1:5" x14ac:dyDescent="0.35">
      <c r="A161" s="10" t="s">
        <v>38</v>
      </c>
      <c r="B161" s="10">
        <v>100</v>
      </c>
      <c r="C161" s="10">
        <v>180</v>
      </c>
      <c r="D161" s="10">
        <v>19</v>
      </c>
      <c r="E161" s="10">
        <v>261</v>
      </c>
    </row>
    <row r="162" spans="1:5" x14ac:dyDescent="0.35">
      <c r="A162" s="10" t="s">
        <v>38</v>
      </c>
      <c r="B162" s="10">
        <v>100</v>
      </c>
      <c r="C162" s="10">
        <v>180</v>
      </c>
      <c r="D162" s="10">
        <v>25</v>
      </c>
      <c r="E162" s="10">
        <v>255</v>
      </c>
    </row>
    <row r="163" spans="1:5" x14ac:dyDescent="0.35">
      <c r="A163" s="10" t="s">
        <v>38</v>
      </c>
      <c r="B163" s="10">
        <v>100</v>
      </c>
      <c r="C163" s="10">
        <v>180</v>
      </c>
      <c r="D163" s="10">
        <v>28</v>
      </c>
      <c r="E163" s="10">
        <v>252</v>
      </c>
    </row>
    <row r="164" spans="1:5" x14ac:dyDescent="0.35">
      <c r="A164" s="10" t="s">
        <v>38</v>
      </c>
      <c r="B164" s="10">
        <v>100</v>
      </c>
      <c r="C164" s="10">
        <v>180</v>
      </c>
      <c r="D164" s="10">
        <v>30</v>
      </c>
      <c r="E164" s="10">
        <v>250</v>
      </c>
    </row>
    <row r="165" spans="1:5" x14ac:dyDescent="0.35">
      <c r="A165" s="10" t="s">
        <v>38</v>
      </c>
      <c r="B165" s="10">
        <v>100</v>
      </c>
      <c r="C165" s="10">
        <v>180</v>
      </c>
      <c r="D165" s="10">
        <v>26</v>
      </c>
      <c r="E165" s="10">
        <v>254</v>
      </c>
    </row>
    <row r="166" spans="1:5" x14ac:dyDescent="0.35">
      <c r="A166" s="10" t="s">
        <v>38</v>
      </c>
      <c r="B166" s="10">
        <v>100</v>
      </c>
      <c r="C166" s="10">
        <v>180</v>
      </c>
      <c r="D166" s="10">
        <v>24</v>
      </c>
      <c r="E166" s="10">
        <v>256</v>
      </c>
    </row>
    <row r="167" spans="1:5" x14ac:dyDescent="0.35">
      <c r="A167" s="10" t="s">
        <v>38</v>
      </c>
      <c r="B167" s="10">
        <v>100</v>
      </c>
      <c r="C167" s="10">
        <v>180</v>
      </c>
      <c r="D167" s="10">
        <v>23</v>
      </c>
      <c r="E167" s="10">
        <v>257</v>
      </c>
    </row>
    <row r="168" spans="1:5" x14ac:dyDescent="0.35">
      <c r="A168" s="10" t="s">
        <v>38</v>
      </c>
      <c r="B168" s="10">
        <v>100</v>
      </c>
      <c r="C168" s="10">
        <v>200</v>
      </c>
      <c r="D168" s="10">
        <v>18</v>
      </c>
      <c r="E168" s="10">
        <v>282</v>
      </c>
    </row>
    <row r="169" spans="1:5" x14ac:dyDescent="0.35">
      <c r="A169" s="10" t="s">
        <v>38</v>
      </c>
      <c r="B169" s="10">
        <v>100</v>
      </c>
      <c r="C169" s="10">
        <v>200</v>
      </c>
      <c r="D169" s="10">
        <v>20</v>
      </c>
      <c r="E169" s="10">
        <v>280</v>
      </c>
    </row>
    <row r="170" spans="1:5" x14ac:dyDescent="0.35">
      <c r="A170" s="10" t="s">
        <v>38</v>
      </c>
      <c r="B170" s="10">
        <v>100</v>
      </c>
      <c r="C170" s="10">
        <v>200</v>
      </c>
      <c r="D170" s="10">
        <v>21</v>
      </c>
      <c r="E170" s="10">
        <v>279</v>
      </c>
    </row>
    <row r="171" spans="1:5" x14ac:dyDescent="0.35">
      <c r="A171" s="10" t="s">
        <v>38</v>
      </c>
      <c r="B171" s="10">
        <v>100</v>
      </c>
      <c r="C171" s="10">
        <v>200</v>
      </c>
      <c r="D171" s="10">
        <v>19</v>
      </c>
      <c r="E171" s="10">
        <v>281</v>
      </c>
    </row>
    <row r="172" spans="1:5" x14ac:dyDescent="0.35">
      <c r="A172" s="10" t="s">
        <v>38</v>
      </c>
      <c r="B172" s="10">
        <v>100</v>
      </c>
      <c r="C172" s="10">
        <v>200</v>
      </c>
      <c r="D172" s="10">
        <v>25</v>
      </c>
      <c r="E172" s="10">
        <v>275</v>
      </c>
    </row>
    <row r="173" spans="1:5" x14ac:dyDescent="0.35">
      <c r="A173" s="10" t="s">
        <v>38</v>
      </c>
      <c r="B173" s="10">
        <v>100</v>
      </c>
      <c r="C173" s="10">
        <v>200</v>
      </c>
      <c r="D173" s="10">
        <v>28</v>
      </c>
      <c r="E173" s="10">
        <v>272</v>
      </c>
    </row>
    <row r="174" spans="1:5" x14ac:dyDescent="0.35">
      <c r="A174" s="10" t="s">
        <v>38</v>
      </c>
      <c r="B174" s="10">
        <v>100</v>
      </c>
      <c r="C174" s="10">
        <v>200</v>
      </c>
      <c r="D174" s="10">
        <v>30</v>
      </c>
      <c r="E174" s="10">
        <v>270</v>
      </c>
    </row>
    <row r="175" spans="1:5" x14ac:dyDescent="0.35">
      <c r="A175" s="10" t="s">
        <v>38</v>
      </c>
      <c r="B175" s="10">
        <v>100</v>
      </c>
      <c r="C175" s="10">
        <v>200</v>
      </c>
      <c r="D175" s="10">
        <v>26</v>
      </c>
      <c r="E175" s="10">
        <v>274</v>
      </c>
    </row>
    <row r="176" spans="1:5" x14ac:dyDescent="0.35">
      <c r="A176" s="10" t="s">
        <v>38</v>
      </c>
      <c r="B176" s="10">
        <v>100</v>
      </c>
      <c r="C176" s="10">
        <v>200</v>
      </c>
      <c r="D176" s="10">
        <v>24</v>
      </c>
      <c r="E176" s="10">
        <v>276</v>
      </c>
    </row>
    <row r="177" spans="1:5" x14ac:dyDescent="0.35">
      <c r="A177" s="10" t="s">
        <v>38</v>
      </c>
      <c r="B177" s="10">
        <v>100</v>
      </c>
      <c r="C177" s="10">
        <v>200</v>
      </c>
      <c r="D177" s="10">
        <v>23</v>
      </c>
      <c r="E177" s="10">
        <v>277</v>
      </c>
    </row>
    <row r="178" spans="1:5" x14ac:dyDescent="0.35">
      <c r="A178" s="10" t="s">
        <v>38</v>
      </c>
      <c r="B178" s="10">
        <v>100</v>
      </c>
      <c r="C178" s="10">
        <v>190</v>
      </c>
      <c r="D178" s="10">
        <v>18</v>
      </c>
      <c r="E178" s="10">
        <v>272</v>
      </c>
    </row>
    <row r="179" spans="1:5" x14ac:dyDescent="0.35">
      <c r="A179" s="10" t="s">
        <v>38</v>
      </c>
      <c r="B179" s="10">
        <v>100</v>
      </c>
      <c r="C179" s="10">
        <v>190</v>
      </c>
      <c r="D179" s="10">
        <v>20</v>
      </c>
      <c r="E179" s="10">
        <v>270</v>
      </c>
    </row>
    <row r="180" spans="1:5" x14ac:dyDescent="0.35">
      <c r="A180" s="10" t="s">
        <v>38</v>
      </c>
      <c r="B180" s="10">
        <v>100</v>
      </c>
      <c r="C180" s="10">
        <v>190</v>
      </c>
      <c r="D180" s="10">
        <v>21</v>
      </c>
      <c r="E180" s="10">
        <v>269</v>
      </c>
    </row>
    <row r="181" spans="1:5" x14ac:dyDescent="0.35">
      <c r="A181" s="10" t="s">
        <v>38</v>
      </c>
      <c r="B181" s="10">
        <v>100</v>
      </c>
      <c r="C181" s="10">
        <v>190</v>
      </c>
      <c r="D181" s="10">
        <v>19</v>
      </c>
      <c r="E181" s="10">
        <v>271</v>
      </c>
    </row>
    <row r="182" spans="1:5" x14ac:dyDescent="0.35">
      <c r="A182" s="10" t="s">
        <v>38</v>
      </c>
      <c r="B182" s="10">
        <v>100</v>
      </c>
      <c r="C182" s="10">
        <v>190</v>
      </c>
      <c r="D182" s="10">
        <v>25</v>
      </c>
      <c r="E182" s="10">
        <v>265</v>
      </c>
    </row>
    <row r="183" spans="1:5" x14ac:dyDescent="0.35">
      <c r="A183" s="10" t="s">
        <v>38</v>
      </c>
      <c r="B183" s="10">
        <v>100</v>
      </c>
      <c r="C183" s="10">
        <v>190</v>
      </c>
      <c r="D183" s="10">
        <v>28</v>
      </c>
      <c r="E183" s="10">
        <v>262</v>
      </c>
    </row>
    <row r="184" spans="1:5" x14ac:dyDescent="0.35">
      <c r="A184" s="10" t="s">
        <v>38</v>
      </c>
      <c r="B184" s="10">
        <v>100</v>
      </c>
      <c r="C184" s="10">
        <v>190</v>
      </c>
      <c r="D184" s="10">
        <v>30</v>
      </c>
      <c r="E184" s="10">
        <v>260</v>
      </c>
    </row>
    <row r="185" spans="1:5" x14ac:dyDescent="0.35">
      <c r="A185" s="10" t="s">
        <v>38</v>
      </c>
      <c r="B185" s="10">
        <v>100</v>
      </c>
      <c r="C185" s="10">
        <v>190</v>
      </c>
      <c r="D185" s="10">
        <v>26</v>
      </c>
      <c r="E185" s="10">
        <v>264</v>
      </c>
    </row>
    <row r="186" spans="1:5" x14ac:dyDescent="0.35">
      <c r="A186" s="10" t="s">
        <v>38</v>
      </c>
      <c r="B186" s="10">
        <v>100</v>
      </c>
      <c r="C186" s="10">
        <v>190</v>
      </c>
      <c r="D186" s="10">
        <v>24</v>
      </c>
      <c r="E186" s="10">
        <v>266</v>
      </c>
    </row>
    <row r="187" spans="1:5" x14ac:dyDescent="0.35">
      <c r="A187" s="10" t="s">
        <v>38</v>
      </c>
      <c r="B187" s="10">
        <v>100</v>
      </c>
      <c r="C187" s="10">
        <v>190</v>
      </c>
      <c r="D187" s="10">
        <v>23</v>
      </c>
      <c r="E187" s="10">
        <v>267</v>
      </c>
    </row>
    <row r="188" spans="1:5" x14ac:dyDescent="0.35">
      <c r="A188" s="10" t="s">
        <v>38</v>
      </c>
      <c r="B188" s="10">
        <v>100</v>
      </c>
      <c r="C188" s="10">
        <v>180</v>
      </c>
      <c r="D188" s="10">
        <v>18</v>
      </c>
      <c r="E188" s="10">
        <v>262</v>
      </c>
    </row>
    <row r="189" spans="1:5" x14ac:dyDescent="0.35">
      <c r="A189" s="10" t="s">
        <v>38</v>
      </c>
      <c r="B189" s="10">
        <v>100</v>
      </c>
      <c r="C189" s="10">
        <v>180</v>
      </c>
      <c r="D189" s="10">
        <v>20</v>
      </c>
      <c r="E189" s="10">
        <v>260</v>
      </c>
    </row>
    <row r="190" spans="1:5" x14ac:dyDescent="0.35">
      <c r="A190" s="10" t="s">
        <v>38</v>
      </c>
      <c r="B190" s="10">
        <v>100</v>
      </c>
      <c r="C190" s="10">
        <v>180</v>
      </c>
      <c r="D190" s="10">
        <v>21</v>
      </c>
      <c r="E190" s="10">
        <v>259</v>
      </c>
    </row>
    <row r="191" spans="1:5" x14ac:dyDescent="0.35">
      <c r="A191" s="10" t="s">
        <v>38</v>
      </c>
      <c r="B191" s="10">
        <v>100</v>
      </c>
      <c r="C191" s="10">
        <v>180</v>
      </c>
      <c r="D191" s="10">
        <v>19</v>
      </c>
      <c r="E191" s="10">
        <v>261</v>
      </c>
    </row>
    <row r="192" spans="1:5" x14ac:dyDescent="0.35">
      <c r="A192" s="10" t="s">
        <v>38</v>
      </c>
      <c r="B192" s="10">
        <v>100</v>
      </c>
      <c r="C192" s="10">
        <v>180</v>
      </c>
      <c r="D192" s="10">
        <v>25</v>
      </c>
      <c r="E192" s="10">
        <v>255</v>
      </c>
    </row>
    <row r="193" spans="1:5" x14ac:dyDescent="0.35">
      <c r="A193" s="10" t="s">
        <v>38</v>
      </c>
      <c r="B193" s="10">
        <v>100</v>
      </c>
      <c r="C193" s="10">
        <v>180</v>
      </c>
      <c r="D193" s="10">
        <v>28</v>
      </c>
      <c r="E193" s="10">
        <v>252</v>
      </c>
    </row>
    <row r="194" spans="1:5" x14ac:dyDescent="0.35">
      <c r="A194" s="10" t="s">
        <v>38</v>
      </c>
      <c r="B194" s="10">
        <v>100</v>
      </c>
      <c r="C194" s="10">
        <v>180</v>
      </c>
      <c r="D194" s="10">
        <v>30</v>
      </c>
      <c r="E194" s="10">
        <v>250</v>
      </c>
    </row>
    <row r="195" spans="1:5" x14ac:dyDescent="0.35">
      <c r="A195" s="10" t="s">
        <v>38</v>
      </c>
      <c r="B195" s="10">
        <v>100</v>
      </c>
      <c r="C195" s="10">
        <v>180</v>
      </c>
      <c r="D195" s="10">
        <v>26</v>
      </c>
      <c r="E195" s="10">
        <v>254</v>
      </c>
    </row>
    <row r="196" spans="1:5" x14ac:dyDescent="0.35">
      <c r="A196" s="10" t="s">
        <v>38</v>
      </c>
      <c r="B196" s="10">
        <v>100</v>
      </c>
      <c r="C196" s="10">
        <v>180</v>
      </c>
      <c r="D196" s="10">
        <v>24</v>
      </c>
      <c r="E196" s="10">
        <v>256</v>
      </c>
    </row>
    <row r="197" spans="1:5" x14ac:dyDescent="0.35">
      <c r="A197" s="10" t="s">
        <v>38</v>
      </c>
      <c r="B197" s="10">
        <v>100</v>
      </c>
      <c r="C197" s="10">
        <v>180</v>
      </c>
      <c r="D197" s="10">
        <v>23</v>
      </c>
      <c r="E197" s="10">
        <v>257</v>
      </c>
    </row>
    <row r="198" spans="1:5" x14ac:dyDescent="0.35">
      <c r="A198" s="10" t="s">
        <v>46</v>
      </c>
      <c r="B198" s="10">
        <v>50</v>
      </c>
      <c r="C198" s="10">
        <v>90</v>
      </c>
      <c r="D198" s="10">
        <v>6</v>
      </c>
      <c r="E198" s="10">
        <v>134</v>
      </c>
    </row>
    <row r="199" spans="1:5" x14ac:dyDescent="0.35">
      <c r="A199" s="10" t="s">
        <v>46</v>
      </c>
      <c r="B199" s="10">
        <v>50</v>
      </c>
      <c r="C199" s="10">
        <v>90</v>
      </c>
      <c r="D199" s="10">
        <v>8</v>
      </c>
      <c r="E199" s="10">
        <v>132</v>
      </c>
    </row>
    <row r="200" spans="1:5" x14ac:dyDescent="0.35">
      <c r="A200" s="10" t="s">
        <v>46</v>
      </c>
      <c r="B200" s="10">
        <v>50</v>
      </c>
      <c r="C200" s="10">
        <v>90</v>
      </c>
      <c r="D200" s="10">
        <v>7</v>
      </c>
      <c r="E200" s="10">
        <v>133</v>
      </c>
    </row>
    <row r="201" spans="1:5" x14ac:dyDescent="0.35">
      <c r="A201" s="10" t="s">
        <v>46</v>
      </c>
      <c r="B201" s="10">
        <v>50</v>
      </c>
      <c r="C201" s="10">
        <v>90</v>
      </c>
      <c r="D201" s="10">
        <v>9</v>
      </c>
      <c r="E201" s="10">
        <v>131</v>
      </c>
    </row>
    <row r="202" spans="1:5" x14ac:dyDescent="0.35">
      <c r="A202" s="10" t="s">
        <v>46</v>
      </c>
      <c r="B202" s="10">
        <v>50</v>
      </c>
      <c r="C202" s="10">
        <v>90</v>
      </c>
      <c r="D202" s="10">
        <v>10</v>
      </c>
      <c r="E202" s="10">
        <v>130</v>
      </c>
    </row>
    <row r="203" spans="1:5" x14ac:dyDescent="0.35">
      <c r="A203" s="10" t="s">
        <v>46</v>
      </c>
      <c r="B203" s="10">
        <v>50</v>
      </c>
      <c r="C203" s="10">
        <v>90</v>
      </c>
      <c r="D203" s="10">
        <v>11</v>
      </c>
      <c r="E203" s="10">
        <v>129</v>
      </c>
    </row>
    <row r="204" spans="1:5" x14ac:dyDescent="0.35">
      <c r="A204" s="10" t="s">
        <v>46</v>
      </c>
      <c r="B204" s="10">
        <v>50</v>
      </c>
      <c r="C204" s="10">
        <v>100</v>
      </c>
      <c r="D204" s="10">
        <v>6</v>
      </c>
      <c r="E204" s="10">
        <v>144</v>
      </c>
    </row>
    <row r="205" spans="1:5" x14ac:dyDescent="0.35">
      <c r="A205" s="10" t="s">
        <v>46</v>
      </c>
      <c r="B205" s="10">
        <v>50</v>
      </c>
      <c r="C205" s="10">
        <v>100</v>
      </c>
      <c r="D205" s="10">
        <v>8</v>
      </c>
      <c r="E205" s="10">
        <v>142</v>
      </c>
    </row>
    <row r="206" spans="1:5" x14ac:dyDescent="0.35">
      <c r="A206" s="10" t="s">
        <v>46</v>
      </c>
      <c r="B206" s="10">
        <v>50</v>
      </c>
      <c r="C206" s="10">
        <v>100</v>
      </c>
      <c r="D206" s="10">
        <v>7</v>
      </c>
      <c r="E206" s="10">
        <v>143</v>
      </c>
    </row>
    <row r="207" spans="1:5" x14ac:dyDescent="0.35">
      <c r="A207" s="10" t="s">
        <v>46</v>
      </c>
      <c r="B207" s="10">
        <v>50</v>
      </c>
      <c r="C207" s="10">
        <v>100</v>
      </c>
      <c r="D207" s="10">
        <v>9</v>
      </c>
      <c r="E207" s="10">
        <v>141</v>
      </c>
    </row>
    <row r="208" spans="1:5" x14ac:dyDescent="0.35">
      <c r="A208" s="10" t="s">
        <v>46</v>
      </c>
      <c r="B208" s="10">
        <v>50</v>
      </c>
      <c r="C208" s="10">
        <v>100</v>
      </c>
      <c r="D208" s="10">
        <v>10</v>
      </c>
      <c r="E208" s="10">
        <v>140</v>
      </c>
    </row>
    <row r="209" spans="1:5" x14ac:dyDescent="0.35">
      <c r="A209" s="10" t="s">
        <v>46</v>
      </c>
      <c r="B209" s="10">
        <v>50</v>
      </c>
      <c r="C209" s="10">
        <v>100</v>
      </c>
      <c r="D209" s="10">
        <v>11</v>
      </c>
      <c r="E209" s="10">
        <v>139</v>
      </c>
    </row>
    <row r="210" spans="1:5" x14ac:dyDescent="0.35">
      <c r="A210" s="10" t="s">
        <v>46</v>
      </c>
      <c r="B210" s="10">
        <v>50</v>
      </c>
      <c r="C210" s="10">
        <v>120</v>
      </c>
      <c r="D210" s="10">
        <v>6</v>
      </c>
      <c r="E210" s="10">
        <v>164</v>
      </c>
    </row>
    <row r="211" spans="1:5" x14ac:dyDescent="0.35">
      <c r="A211" s="10" t="s">
        <v>46</v>
      </c>
      <c r="B211" s="10">
        <v>50</v>
      </c>
      <c r="C211" s="10">
        <v>120</v>
      </c>
      <c r="D211" s="10">
        <v>8</v>
      </c>
      <c r="E211" s="10">
        <v>162</v>
      </c>
    </row>
    <row r="212" spans="1:5" x14ac:dyDescent="0.35">
      <c r="A212" s="10" t="s">
        <v>46</v>
      </c>
      <c r="B212" s="10">
        <v>50</v>
      </c>
      <c r="C212" s="10">
        <v>120</v>
      </c>
      <c r="D212" s="10">
        <v>7</v>
      </c>
      <c r="E212" s="10">
        <v>163</v>
      </c>
    </row>
    <row r="213" spans="1:5" x14ac:dyDescent="0.35">
      <c r="A213" s="10" t="s">
        <v>46</v>
      </c>
      <c r="B213" s="10">
        <v>50</v>
      </c>
      <c r="C213" s="10">
        <v>120</v>
      </c>
      <c r="D213" s="10">
        <v>9</v>
      </c>
      <c r="E213" s="10">
        <v>161</v>
      </c>
    </row>
    <row r="214" spans="1:5" x14ac:dyDescent="0.35">
      <c r="A214" s="10" t="s">
        <v>46</v>
      </c>
      <c r="B214" s="10">
        <v>50</v>
      </c>
      <c r="C214" s="10">
        <v>120</v>
      </c>
      <c r="D214" s="10">
        <v>10</v>
      </c>
      <c r="E214" s="10">
        <v>160</v>
      </c>
    </row>
    <row r="215" spans="1:5" x14ac:dyDescent="0.35">
      <c r="A215" s="10" t="s">
        <v>46</v>
      </c>
      <c r="B215" s="10">
        <v>50</v>
      </c>
      <c r="C215" s="10">
        <v>120</v>
      </c>
      <c r="D215" s="10">
        <v>11</v>
      </c>
      <c r="E215" s="10">
        <v>159</v>
      </c>
    </row>
    <row r="216" spans="1:5" x14ac:dyDescent="0.35">
      <c r="A216" s="10" t="s">
        <v>46</v>
      </c>
      <c r="B216" s="10">
        <v>50</v>
      </c>
      <c r="C216" s="10">
        <v>85</v>
      </c>
      <c r="D216" s="10">
        <v>6</v>
      </c>
      <c r="E216" s="10">
        <v>129</v>
      </c>
    </row>
    <row r="217" spans="1:5" x14ac:dyDescent="0.35">
      <c r="A217" s="10" t="s">
        <v>46</v>
      </c>
      <c r="B217" s="10">
        <v>50</v>
      </c>
      <c r="C217" s="10">
        <v>85</v>
      </c>
      <c r="D217" s="10">
        <v>8</v>
      </c>
      <c r="E217" s="10">
        <v>127</v>
      </c>
    </row>
    <row r="218" spans="1:5" x14ac:dyDescent="0.35">
      <c r="A218" s="10" t="s">
        <v>46</v>
      </c>
      <c r="B218" s="10">
        <v>50</v>
      </c>
      <c r="C218" s="10">
        <v>85</v>
      </c>
      <c r="D218" s="10">
        <v>7</v>
      </c>
      <c r="E218" s="10">
        <v>128</v>
      </c>
    </row>
    <row r="219" spans="1:5" x14ac:dyDescent="0.35">
      <c r="A219" s="10" t="s">
        <v>46</v>
      </c>
      <c r="B219" s="10">
        <v>50</v>
      </c>
      <c r="C219" s="10">
        <v>85</v>
      </c>
      <c r="D219" s="10">
        <v>9</v>
      </c>
      <c r="E219" s="10">
        <v>126</v>
      </c>
    </row>
    <row r="220" spans="1:5" x14ac:dyDescent="0.35">
      <c r="A220" s="10" t="s">
        <v>46</v>
      </c>
      <c r="B220" s="10">
        <v>50</v>
      </c>
      <c r="C220" s="10">
        <v>85</v>
      </c>
      <c r="D220" s="10">
        <v>10</v>
      </c>
      <c r="E220" s="10">
        <v>125</v>
      </c>
    </row>
    <row r="221" spans="1:5" x14ac:dyDescent="0.35">
      <c r="A221" s="10" t="s">
        <v>46</v>
      </c>
      <c r="B221" s="10">
        <v>50</v>
      </c>
      <c r="C221" s="10">
        <v>85</v>
      </c>
      <c r="D221" s="10">
        <v>11</v>
      </c>
      <c r="E221" s="10">
        <v>124</v>
      </c>
    </row>
    <row r="222" spans="1:5" x14ac:dyDescent="0.35">
      <c r="A222" s="10" t="s">
        <v>46</v>
      </c>
      <c r="B222" s="10">
        <v>50</v>
      </c>
      <c r="C222" s="10">
        <v>95</v>
      </c>
      <c r="D222" s="10">
        <v>6</v>
      </c>
      <c r="E222" s="10">
        <v>139</v>
      </c>
    </row>
    <row r="223" spans="1:5" x14ac:dyDescent="0.35">
      <c r="A223" s="10" t="s">
        <v>46</v>
      </c>
      <c r="B223" s="10">
        <v>50</v>
      </c>
      <c r="C223" s="10">
        <v>95</v>
      </c>
      <c r="D223" s="10">
        <v>8</v>
      </c>
      <c r="E223" s="10">
        <v>137</v>
      </c>
    </row>
    <row r="224" spans="1:5" x14ac:dyDescent="0.35">
      <c r="A224" s="10" t="s">
        <v>46</v>
      </c>
      <c r="B224" s="10">
        <v>50</v>
      </c>
      <c r="C224" s="10">
        <v>95</v>
      </c>
      <c r="D224" s="10">
        <v>7</v>
      </c>
      <c r="E224" s="10">
        <v>138</v>
      </c>
    </row>
    <row r="225" spans="1:5" x14ac:dyDescent="0.35">
      <c r="A225" s="10" t="s">
        <v>46</v>
      </c>
      <c r="B225" s="10">
        <v>50</v>
      </c>
      <c r="C225" s="10">
        <v>95</v>
      </c>
      <c r="D225" s="10">
        <v>9</v>
      </c>
      <c r="E225" s="10">
        <v>136</v>
      </c>
    </row>
    <row r="226" spans="1:5" x14ac:dyDescent="0.35">
      <c r="A226" s="10" t="s">
        <v>46</v>
      </c>
      <c r="B226" s="10">
        <v>50</v>
      </c>
      <c r="C226" s="10">
        <v>95</v>
      </c>
      <c r="D226" s="10">
        <v>10</v>
      </c>
      <c r="E226" s="10">
        <v>135</v>
      </c>
    </row>
    <row r="227" spans="1:5" x14ac:dyDescent="0.35">
      <c r="A227" s="10" t="s">
        <v>46</v>
      </c>
      <c r="B227" s="10">
        <v>50</v>
      </c>
      <c r="C227" s="10">
        <v>95</v>
      </c>
      <c r="D227" s="10">
        <v>11</v>
      </c>
      <c r="E227" s="10">
        <v>134</v>
      </c>
    </row>
    <row r="228" spans="1:5" x14ac:dyDescent="0.35">
      <c r="A228" s="10" t="s">
        <v>46</v>
      </c>
      <c r="B228" s="10">
        <v>50</v>
      </c>
      <c r="C228" s="10">
        <v>100</v>
      </c>
      <c r="D228" s="10">
        <v>6</v>
      </c>
      <c r="E228" s="10">
        <v>144</v>
      </c>
    </row>
    <row r="229" spans="1:5" x14ac:dyDescent="0.35">
      <c r="A229" s="10" t="s">
        <v>46</v>
      </c>
      <c r="B229" s="10">
        <v>50</v>
      </c>
      <c r="C229" s="10">
        <v>100</v>
      </c>
      <c r="D229" s="10">
        <v>8</v>
      </c>
      <c r="E229" s="10">
        <v>142</v>
      </c>
    </row>
    <row r="230" spans="1:5" x14ac:dyDescent="0.35">
      <c r="A230" s="10" t="s">
        <v>46</v>
      </c>
      <c r="B230" s="10">
        <v>50</v>
      </c>
      <c r="C230" s="10">
        <v>100</v>
      </c>
      <c r="D230" s="10">
        <v>7</v>
      </c>
      <c r="E230" s="10">
        <v>143</v>
      </c>
    </row>
    <row r="231" spans="1:5" x14ac:dyDescent="0.35">
      <c r="A231" s="10" t="s">
        <v>46</v>
      </c>
      <c r="B231" s="10">
        <v>50</v>
      </c>
      <c r="C231" s="10">
        <v>100</v>
      </c>
      <c r="D231" s="10">
        <v>9</v>
      </c>
      <c r="E231" s="10">
        <v>141</v>
      </c>
    </row>
    <row r="232" spans="1:5" x14ac:dyDescent="0.35">
      <c r="A232" s="10" t="s">
        <v>46</v>
      </c>
      <c r="B232" s="10">
        <v>50</v>
      </c>
      <c r="C232" s="10">
        <v>100</v>
      </c>
      <c r="D232" s="10">
        <v>10</v>
      </c>
      <c r="E232" s="10">
        <v>140</v>
      </c>
    </row>
    <row r="233" spans="1:5" x14ac:dyDescent="0.35">
      <c r="A233" s="10" t="s">
        <v>46</v>
      </c>
      <c r="B233" s="10">
        <v>50</v>
      </c>
      <c r="C233" s="10">
        <v>100</v>
      </c>
      <c r="D233" s="10">
        <v>11</v>
      </c>
      <c r="E233" s="10">
        <v>139</v>
      </c>
    </row>
    <row r="234" spans="1:5" x14ac:dyDescent="0.35">
      <c r="A234" s="10" t="s">
        <v>35</v>
      </c>
      <c r="B234" s="10">
        <v>70</v>
      </c>
      <c r="C234" s="10">
        <v>120</v>
      </c>
      <c r="D234" s="10">
        <v>7</v>
      </c>
      <c r="E234" s="10">
        <v>183</v>
      </c>
    </row>
    <row r="235" spans="1:5" x14ac:dyDescent="0.35">
      <c r="A235" s="10" t="s">
        <v>35</v>
      </c>
      <c r="B235" s="10">
        <v>70</v>
      </c>
      <c r="C235" s="10">
        <v>120</v>
      </c>
      <c r="D235" s="10">
        <v>10</v>
      </c>
      <c r="E235" s="10">
        <v>180</v>
      </c>
    </row>
    <row r="236" spans="1:5" x14ac:dyDescent="0.35">
      <c r="A236" s="10" t="s">
        <v>35</v>
      </c>
      <c r="B236" s="10">
        <v>70</v>
      </c>
      <c r="C236" s="10">
        <v>120</v>
      </c>
      <c r="D236" s="10">
        <v>11</v>
      </c>
      <c r="E236" s="10">
        <v>179</v>
      </c>
    </row>
    <row r="237" spans="1:5" x14ac:dyDescent="0.35">
      <c r="A237" s="10" t="s">
        <v>35</v>
      </c>
      <c r="B237" s="10">
        <v>70</v>
      </c>
      <c r="C237" s="10">
        <v>120</v>
      </c>
      <c r="D237" s="10">
        <v>12</v>
      </c>
      <c r="E237" s="10">
        <v>178</v>
      </c>
    </row>
    <row r="238" spans="1:5" x14ac:dyDescent="0.35">
      <c r="A238" s="10" t="s">
        <v>35</v>
      </c>
      <c r="B238" s="10">
        <v>70</v>
      </c>
      <c r="C238" s="10">
        <v>120</v>
      </c>
      <c r="D238" s="10">
        <v>13</v>
      </c>
      <c r="E238" s="10">
        <v>177</v>
      </c>
    </row>
    <row r="239" spans="1:5" x14ac:dyDescent="0.35">
      <c r="A239" s="10" t="s">
        <v>35</v>
      </c>
      <c r="B239" s="10">
        <v>70</v>
      </c>
      <c r="C239" s="10">
        <v>120</v>
      </c>
      <c r="D239" s="10">
        <v>15</v>
      </c>
      <c r="E239" s="10">
        <v>175</v>
      </c>
    </row>
    <row r="240" spans="1:5" x14ac:dyDescent="0.35">
      <c r="A240" s="10" t="s">
        <v>35</v>
      </c>
      <c r="B240" s="10">
        <v>70</v>
      </c>
      <c r="C240" s="10">
        <v>120</v>
      </c>
      <c r="D240" s="10">
        <v>12</v>
      </c>
      <c r="E240" s="10">
        <v>178</v>
      </c>
    </row>
    <row r="241" spans="1:5" x14ac:dyDescent="0.35">
      <c r="A241" s="10" t="s">
        <v>35</v>
      </c>
      <c r="B241" s="10">
        <v>70</v>
      </c>
      <c r="C241" s="10">
        <v>120</v>
      </c>
      <c r="D241" s="10">
        <v>14</v>
      </c>
      <c r="E241" s="10">
        <v>176</v>
      </c>
    </row>
    <row r="242" spans="1:5" x14ac:dyDescent="0.35">
      <c r="A242" s="10" t="s">
        <v>35</v>
      </c>
      <c r="B242" s="10">
        <v>70</v>
      </c>
      <c r="C242" s="10">
        <v>120</v>
      </c>
      <c r="D242" s="10">
        <v>13</v>
      </c>
      <c r="E242" s="10">
        <v>177</v>
      </c>
    </row>
    <row r="243" spans="1:5" x14ac:dyDescent="0.35">
      <c r="A243" s="10" t="s">
        <v>35</v>
      </c>
      <c r="B243" s="10">
        <v>70</v>
      </c>
      <c r="C243" s="10">
        <v>140</v>
      </c>
      <c r="D243" s="10">
        <v>7</v>
      </c>
      <c r="E243" s="10">
        <v>203</v>
      </c>
    </row>
    <row r="244" spans="1:5" x14ac:dyDescent="0.35">
      <c r="A244" s="10" t="s">
        <v>35</v>
      </c>
      <c r="B244" s="10">
        <v>70</v>
      </c>
      <c r="C244" s="10">
        <v>140</v>
      </c>
      <c r="D244" s="10">
        <v>10</v>
      </c>
      <c r="E244" s="10">
        <v>200</v>
      </c>
    </row>
    <row r="245" spans="1:5" x14ac:dyDescent="0.35">
      <c r="A245" s="10" t="s">
        <v>35</v>
      </c>
      <c r="B245" s="10">
        <v>70</v>
      </c>
      <c r="C245" s="10">
        <v>140</v>
      </c>
      <c r="D245" s="10">
        <v>11</v>
      </c>
      <c r="E245" s="10">
        <v>199</v>
      </c>
    </row>
    <row r="246" spans="1:5" x14ac:dyDescent="0.35">
      <c r="A246" s="10" t="s">
        <v>35</v>
      </c>
      <c r="B246" s="10">
        <v>70</v>
      </c>
      <c r="C246" s="10">
        <v>140</v>
      </c>
      <c r="D246" s="10">
        <v>12</v>
      </c>
      <c r="E246" s="10">
        <v>198</v>
      </c>
    </row>
    <row r="247" spans="1:5" x14ac:dyDescent="0.35">
      <c r="A247" s="10" t="s">
        <v>35</v>
      </c>
      <c r="B247" s="10">
        <v>70</v>
      </c>
      <c r="C247" s="10">
        <v>140</v>
      </c>
      <c r="D247" s="10">
        <v>13</v>
      </c>
      <c r="E247" s="10">
        <v>197</v>
      </c>
    </row>
    <row r="248" spans="1:5" x14ac:dyDescent="0.35">
      <c r="A248" s="10" t="s">
        <v>35</v>
      </c>
      <c r="B248" s="10">
        <v>70</v>
      </c>
      <c r="C248" s="10">
        <v>140</v>
      </c>
      <c r="D248" s="10">
        <v>15</v>
      </c>
      <c r="E248" s="10">
        <v>195</v>
      </c>
    </row>
    <row r="249" spans="1:5" x14ac:dyDescent="0.35">
      <c r="A249" s="10" t="s">
        <v>35</v>
      </c>
      <c r="B249" s="10">
        <v>70</v>
      </c>
      <c r="C249" s="10">
        <v>140</v>
      </c>
      <c r="D249" s="10">
        <v>12</v>
      </c>
      <c r="E249" s="10">
        <v>198</v>
      </c>
    </row>
    <row r="250" spans="1:5" x14ac:dyDescent="0.35">
      <c r="A250" s="10" t="s">
        <v>35</v>
      </c>
      <c r="B250" s="10">
        <v>70</v>
      </c>
      <c r="C250" s="10">
        <v>140</v>
      </c>
      <c r="D250" s="10">
        <v>14</v>
      </c>
      <c r="E250" s="10">
        <v>196</v>
      </c>
    </row>
    <row r="251" spans="1:5" x14ac:dyDescent="0.35">
      <c r="A251" s="10" t="s">
        <v>35</v>
      </c>
      <c r="B251" s="10">
        <v>70</v>
      </c>
      <c r="C251" s="10">
        <v>140</v>
      </c>
      <c r="D251" s="10">
        <v>13</v>
      </c>
      <c r="E251" s="10">
        <v>197</v>
      </c>
    </row>
    <row r="252" spans="1:5" x14ac:dyDescent="0.35">
      <c r="A252" s="10" t="s">
        <v>35</v>
      </c>
      <c r="B252" s="10">
        <v>70</v>
      </c>
      <c r="C252" s="10">
        <v>130</v>
      </c>
      <c r="D252" s="10">
        <v>7</v>
      </c>
      <c r="E252" s="10">
        <v>193</v>
      </c>
    </row>
    <row r="253" spans="1:5" x14ac:dyDescent="0.35">
      <c r="A253" s="10" t="s">
        <v>35</v>
      </c>
      <c r="B253" s="10">
        <v>70</v>
      </c>
      <c r="C253" s="10">
        <v>130</v>
      </c>
      <c r="D253" s="10">
        <v>10</v>
      </c>
      <c r="E253" s="10">
        <v>190</v>
      </c>
    </row>
    <row r="254" spans="1:5" x14ac:dyDescent="0.35">
      <c r="A254" s="10" t="s">
        <v>35</v>
      </c>
      <c r="B254" s="10">
        <v>70</v>
      </c>
      <c r="C254" s="10">
        <v>130</v>
      </c>
      <c r="D254" s="10">
        <v>11</v>
      </c>
      <c r="E254" s="10">
        <v>189</v>
      </c>
    </row>
    <row r="255" spans="1:5" x14ac:dyDescent="0.35">
      <c r="A255" s="10" t="s">
        <v>35</v>
      </c>
      <c r="B255" s="10">
        <v>70</v>
      </c>
      <c r="C255" s="10">
        <v>130</v>
      </c>
      <c r="D255" s="10">
        <v>12</v>
      </c>
      <c r="E255" s="10">
        <v>188</v>
      </c>
    </row>
    <row r="256" spans="1:5" x14ac:dyDescent="0.35">
      <c r="A256" s="10" t="s">
        <v>35</v>
      </c>
      <c r="B256" s="10">
        <v>70</v>
      </c>
      <c r="C256" s="10">
        <v>130</v>
      </c>
      <c r="D256" s="10">
        <v>13</v>
      </c>
      <c r="E256" s="10">
        <v>187</v>
      </c>
    </row>
    <row r="257" spans="1:5" x14ac:dyDescent="0.35">
      <c r="A257" s="10" t="s">
        <v>35</v>
      </c>
      <c r="B257" s="10">
        <v>70</v>
      </c>
      <c r="C257" s="10">
        <v>130</v>
      </c>
      <c r="D257" s="10">
        <v>15</v>
      </c>
      <c r="E257" s="10">
        <v>185</v>
      </c>
    </row>
    <row r="258" spans="1:5" x14ac:dyDescent="0.35">
      <c r="A258" s="10" t="s">
        <v>35</v>
      </c>
      <c r="B258" s="10">
        <v>70</v>
      </c>
      <c r="C258" s="10">
        <v>130</v>
      </c>
      <c r="D258" s="10">
        <v>12</v>
      </c>
      <c r="E258" s="10">
        <v>188</v>
      </c>
    </row>
    <row r="259" spans="1:5" x14ac:dyDescent="0.35">
      <c r="A259" s="10" t="s">
        <v>35</v>
      </c>
      <c r="B259" s="10">
        <v>70</v>
      </c>
      <c r="C259" s="10">
        <v>130</v>
      </c>
      <c r="D259" s="10">
        <v>14</v>
      </c>
      <c r="E259" s="10">
        <v>186</v>
      </c>
    </row>
    <row r="260" spans="1:5" x14ac:dyDescent="0.35">
      <c r="A260" s="10" t="s">
        <v>35</v>
      </c>
      <c r="B260" s="10">
        <v>70</v>
      </c>
      <c r="C260" s="10">
        <v>130</v>
      </c>
      <c r="D260" s="10">
        <v>13</v>
      </c>
      <c r="E260" s="10">
        <v>187</v>
      </c>
    </row>
    <row r="261" spans="1:5" x14ac:dyDescent="0.35">
      <c r="A261" s="10" t="s">
        <v>35</v>
      </c>
      <c r="B261" s="10">
        <v>70</v>
      </c>
      <c r="C261" s="10">
        <v>140</v>
      </c>
      <c r="D261" s="10">
        <v>7</v>
      </c>
      <c r="E261" s="10">
        <v>203</v>
      </c>
    </row>
    <row r="262" spans="1:5" x14ac:dyDescent="0.35">
      <c r="A262" s="10" t="s">
        <v>35</v>
      </c>
      <c r="B262" s="10">
        <v>70</v>
      </c>
      <c r="C262" s="10">
        <v>140</v>
      </c>
      <c r="D262" s="10">
        <v>10</v>
      </c>
      <c r="E262" s="10">
        <v>200</v>
      </c>
    </row>
    <row r="263" spans="1:5" x14ac:dyDescent="0.35">
      <c r="A263" s="10" t="s">
        <v>35</v>
      </c>
      <c r="B263" s="10">
        <v>70</v>
      </c>
      <c r="C263" s="10">
        <v>140</v>
      </c>
      <c r="D263" s="10">
        <v>11</v>
      </c>
      <c r="E263" s="10">
        <v>199</v>
      </c>
    </row>
    <row r="264" spans="1:5" x14ac:dyDescent="0.35">
      <c r="A264" s="10" t="s">
        <v>35</v>
      </c>
      <c r="B264" s="10">
        <v>70</v>
      </c>
      <c r="C264" s="10">
        <v>140</v>
      </c>
      <c r="D264" s="10">
        <v>12</v>
      </c>
      <c r="E264" s="10">
        <v>198</v>
      </c>
    </row>
    <row r="265" spans="1:5" x14ac:dyDescent="0.35">
      <c r="A265" s="10" t="s">
        <v>35</v>
      </c>
      <c r="B265" s="10">
        <v>70</v>
      </c>
      <c r="C265" s="10">
        <v>140</v>
      </c>
      <c r="D265" s="10">
        <v>13</v>
      </c>
      <c r="E265" s="10">
        <v>197</v>
      </c>
    </row>
    <row r="266" spans="1:5" x14ac:dyDescent="0.35">
      <c r="A266" s="10" t="s">
        <v>35</v>
      </c>
      <c r="B266" s="10">
        <v>70</v>
      </c>
      <c r="C266" s="10">
        <v>140</v>
      </c>
      <c r="D266" s="10">
        <v>15</v>
      </c>
      <c r="E266" s="10">
        <v>195</v>
      </c>
    </row>
    <row r="267" spans="1:5" x14ac:dyDescent="0.35">
      <c r="A267" s="10" t="s">
        <v>35</v>
      </c>
      <c r="B267" s="10">
        <v>70</v>
      </c>
      <c r="C267" s="10">
        <v>140</v>
      </c>
      <c r="D267" s="10">
        <v>12</v>
      </c>
      <c r="E267" s="10">
        <v>198</v>
      </c>
    </row>
    <row r="268" spans="1:5" x14ac:dyDescent="0.35">
      <c r="A268" s="10" t="s">
        <v>35</v>
      </c>
      <c r="B268" s="10">
        <v>70</v>
      </c>
      <c r="C268" s="10">
        <v>140</v>
      </c>
      <c r="D268" s="10">
        <v>14</v>
      </c>
      <c r="E268" s="10">
        <v>196</v>
      </c>
    </row>
    <row r="269" spans="1:5" x14ac:dyDescent="0.35">
      <c r="A269" s="10" t="s">
        <v>35</v>
      </c>
      <c r="B269" s="10">
        <v>70</v>
      </c>
      <c r="C269" s="10">
        <v>140</v>
      </c>
      <c r="D269" s="10">
        <v>13</v>
      </c>
      <c r="E269" s="10">
        <v>197</v>
      </c>
    </row>
    <row r="270" spans="1:5" x14ac:dyDescent="0.35">
      <c r="A270" s="10" t="s">
        <v>35</v>
      </c>
      <c r="B270" s="10">
        <v>70</v>
      </c>
      <c r="C270" s="10">
        <v>150</v>
      </c>
      <c r="D270" s="10">
        <v>7</v>
      </c>
      <c r="E270" s="10">
        <v>213</v>
      </c>
    </row>
    <row r="271" spans="1:5" x14ac:dyDescent="0.35">
      <c r="A271" s="10" t="s">
        <v>35</v>
      </c>
      <c r="B271" s="10">
        <v>70</v>
      </c>
      <c r="C271" s="10">
        <v>150</v>
      </c>
      <c r="D271" s="10">
        <v>10</v>
      </c>
      <c r="E271" s="10">
        <v>210</v>
      </c>
    </row>
    <row r="272" spans="1:5" x14ac:dyDescent="0.35">
      <c r="A272" s="10" t="s">
        <v>35</v>
      </c>
      <c r="B272" s="10">
        <v>70</v>
      </c>
      <c r="C272" s="10">
        <v>150</v>
      </c>
      <c r="D272" s="10">
        <v>11</v>
      </c>
      <c r="E272" s="10">
        <v>209</v>
      </c>
    </row>
    <row r="273" spans="1:5" x14ac:dyDescent="0.35">
      <c r="A273" s="10" t="s">
        <v>35</v>
      </c>
      <c r="B273" s="10">
        <v>70</v>
      </c>
      <c r="C273" s="10">
        <v>150</v>
      </c>
      <c r="D273" s="10">
        <v>12</v>
      </c>
      <c r="E273" s="10">
        <v>208</v>
      </c>
    </row>
    <row r="274" spans="1:5" x14ac:dyDescent="0.35">
      <c r="A274" s="10" t="s">
        <v>35</v>
      </c>
      <c r="B274" s="10">
        <v>70</v>
      </c>
      <c r="C274" s="10">
        <v>150</v>
      </c>
      <c r="D274" s="10">
        <v>13</v>
      </c>
      <c r="E274" s="10">
        <v>207</v>
      </c>
    </row>
    <row r="275" spans="1:5" x14ac:dyDescent="0.35">
      <c r="A275" s="10" t="s">
        <v>35</v>
      </c>
      <c r="B275" s="10">
        <v>70</v>
      </c>
      <c r="C275" s="10">
        <v>150</v>
      </c>
      <c r="D275" s="10">
        <v>15</v>
      </c>
      <c r="E275" s="10">
        <v>205</v>
      </c>
    </row>
    <row r="276" spans="1:5" x14ac:dyDescent="0.35">
      <c r="A276" s="10" t="s">
        <v>35</v>
      </c>
      <c r="B276" s="10">
        <v>70</v>
      </c>
      <c r="C276" s="10">
        <v>150</v>
      </c>
      <c r="D276" s="10">
        <v>12</v>
      </c>
      <c r="E276" s="10">
        <v>208</v>
      </c>
    </row>
    <row r="277" spans="1:5" x14ac:dyDescent="0.35">
      <c r="A277" s="10" t="s">
        <v>35</v>
      </c>
      <c r="B277" s="10">
        <v>70</v>
      </c>
      <c r="C277" s="10">
        <v>150</v>
      </c>
      <c r="D277" s="10">
        <v>14</v>
      </c>
      <c r="E277" s="10">
        <v>206</v>
      </c>
    </row>
    <row r="278" spans="1:5" x14ac:dyDescent="0.35">
      <c r="A278" s="10" t="s">
        <v>35</v>
      </c>
      <c r="B278" s="10">
        <v>70</v>
      </c>
      <c r="C278" s="10">
        <v>150</v>
      </c>
      <c r="D278" s="10">
        <v>13</v>
      </c>
      <c r="E278" s="10">
        <v>207</v>
      </c>
    </row>
    <row r="279" spans="1:5" x14ac:dyDescent="0.35">
      <c r="A279" s="10" t="s">
        <v>78</v>
      </c>
      <c r="B279" s="10">
        <v>55</v>
      </c>
      <c r="C279" s="10">
        <v>80</v>
      </c>
      <c r="D279" s="10">
        <v>9</v>
      </c>
      <c r="E279" s="10">
        <v>126</v>
      </c>
    </row>
    <row r="280" spans="1:5" x14ac:dyDescent="0.35">
      <c r="A280" s="10" t="s">
        <v>78</v>
      </c>
      <c r="B280" s="10">
        <v>55</v>
      </c>
      <c r="C280" s="10">
        <v>80</v>
      </c>
      <c r="D280" s="10">
        <v>10</v>
      </c>
      <c r="E280" s="10">
        <v>125</v>
      </c>
    </row>
    <row r="281" spans="1:5" x14ac:dyDescent="0.35">
      <c r="A281" s="10" t="s">
        <v>78</v>
      </c>
      <c r="B281" s="10">
        <v>55</v>
      </c>
      <c r="C281" s="10">
        <v>80</v>
      </c>
      <c r="D281" s="10">
        <v>11</v>
      </c>
      <c r="E281" s="10">
        <v>124</v>
      </c>
    </row>
    <row r="282" spans="1:5" x14ac:dyDescent="0.35">
      <c r="A282" s="10" t="s">
        <v>78</v>
      </c>
      <c r="B282" s="10">
        <v>55</v>
      </c>
      <c r="C282" s="10">
        <v>80</v>
      </c>
      <c r="D282" s="10">
        <v>12</v>
      </c>
      <c r="E282" s="10">
        <v>123</v>
      </c>
    </row>
    <row r="283" spans="1:5" x14ac:dyDescent="0.35">
      <c r="A283" s="10" t="s">
        <v>78</v>
      </c>
      <c r="B283" s="10">
        <v>55</v>
      </c>
      <c r="C283" s="10">
        <v>80</v>
      </c>
      <c r="D283" s="10">
        <v>13</v>
      </c>
      <c r="E283" s="10">
        <v>122</v>
      </c>
    </row>
    <row r="284" spans="1:5" x14ac:dyDescent="0.35">
      <c r="A284" s="10" t="s">
        <v>78</v>
      </c>
      <c r="B284" s="10">
        <v>55</v>
      </c>
      <c r="C284" s="10">
        <v>80</v>
      </c>
      <c r="D284" s="10">
        <v>11</v>
      </c>
      <c r="E284" s="10">
        <v>124</v>
      </c>
    </row>
    <row r="285" spans="1:5" x14ac:dyDescent="0.35">
      <c r="A285" s="10" t="s">
        <v>78</v>
      </c>
      <c r="B285" s="10">
        <v>55</v>
      </c>
      <c r="C285" s="10">
        <v>80</v>
      </c>
      <c r="D285" s="10">
        <v>12</v>
      </c>
      <c r="E285" s="10">
        <v>123</v>
      </c>
    </row>
    <row r="286" spans="1:5" x14ac:dyDescent="0.35">
      <c r="A286" s="10" t="s">
        <v>78</v>
      </c>
      <c r="B286" s="10">
        <v>55</v>
      </c>
      <c r="C286" s="10">
        <v>90</v>
      </c>
      <c r="D286" s="10">
        <v>9</v>
      </c>
      <c r="E286" s="10">
        <v>136</v>
      </c>
    </row>
    <row r="287" spans="1:5" x14ac:dyDescent="0.35">
      <c r="A287" s="10" t="s">
        <v>78</v>
      </c>
      <c r="B287" s="10">
        <v>55</v>
      </c>
      <c r="C287" s="10">
        <v>90</v>
      </c>
      <c r="D287" s="10">
        <v>10</v>
      </c>
      <c r="E287" s="10">
        <v>135</v>
      </c>
    </row>
    <row r="288" spans="1:5" x14ac:dyDescent="0.35">
      <c r="A288" s="10" t="s">
        <v>78</v>
      </c>
      <c r="B288" s="10">
        <v>55</v>
      </c>
      <c r="C288" s="10">
        <v>90</v>
      </c>
      <c r="D288" s="10">
        <v>11</v>
      </c>
      <c r="E288" s="10">
        <v>134</v>
      </c>
    </row>
    <row r="289" spans="1:5" x14ac:dyDescent="0.35">
      <c r="A289" s="10" t="s">
        <v>78</v>
      </c>
      <c r="B289" s="10">
        <v>55</v>
      </c>
      <c r="C289" s="10">
        <v>90</v>
      </c>
      <c r="D289" s="10">
        <v>12</v>
      </c>
      <c r="E289" s="10">
        <v>133</v>
      </c>
    </row>
    <row r="290" spans="1:5" x14ac:dyDescent="0.35">
      <c r="A290" s="10" t="s">
        <v>78</v>
      </c>
      <c r="B290" s="10">
        <v>55</v>
      </c>
      <c r="C290" s="10">
        <v>90</v>
      </c>
      <c r="D290" s="10">
        <v>13</v>
      </c>
      <c r="E290" s="10">
        <v>132</v>
      </c>
    </row>
    <row r="291" spans="1:5" x14ac:dyDescent="0.35">
      <c r="A291" s="10" t="s">
        <v>78</v>
      </c>
      <c r="B291" s="10">
        <v>55</v>
      </c>
      <c r="C291" s="10">
        <v>90</v>
      </c>
      <c r="D291" s="10">
        <v>11</v>
      </c>
      <c r="E291" s="10">
        <v>134</v>
      </c>
    </row>
    <row r="292" spans="1:5" x14ac:dyDescent="0.35">
      <c r="A292" s="10" t="s">
        <v>78</v>
      </c>
      <c r="B292" s="10">
        <v>55</v>
      </c>
      <c r="C292" s="10">
        <v>90</v>
      </c>
      <c r="D292" s="10">
        <v>12</v>
      </c>
      <c r="E292" s="10">
        <v>133</v>
      </c>
    </row>
    <row r="293" spans="1:5" x14ac:dyDescent="0.35">
      <c r="A293" s="10" t="s">
        <v>78</v>
      </c>
      <c r="B293" s="10">
        <v>55</v>
      </c>
      <c r="C293" s="10">
        <v>70</v>
      </c>
      <c r="D293" s="10">
        <v>9</v>
      </c>
      <c r="E293" s="10">
        <v>116</v>
      </c>
    </row>
    <row r="294" spans="1:5" x14ac:dyDescent="0.35">
      <c r="A294" s="10" t="s">
        <v>78</v>
      </c>
      <c r="B294" s="10">
        <v>55</v>
      </c>
      <c r="C294" s="10">
        <v>70</v>
      </c>
      <c r="D294" s="10">
        <v>10</v>
      </c>
      <c r="E294" s="10">
        <v>115</v>
      </c>
    </row>
    <row r="295" spans="1:5" x14ac:dyDescent="0.35">
      <c r="A295" s="10" t="s">
        <v>78</v>
      </c>
      <c r="B295" s="10">
        <v>55</v>
      </c>
      <c r="C295" s="10">
        <v>70</v>
      </c>
      <c r="D295" s="10">
        <v>11</v>
      </c>
      <c r="E295" s="10">
        <v>114</v>
      </c>
    </row>
    <row r="296" spans="1:5" x14ac:dyDescent="0.35">
      <c r="A296" s="10" t="s">
        <v>78</v>
      </c>
      <c r="B296" s="10">
        <v>55</v>
      </c>
      <c r="C296" s="10">
        <v>70</v>
      </c>
      <c r="D296" s="10">
        <v>12</v>
      </c>
      <c r="E296" s="10">
        <v>113</v>
      </c>
    </row>
    <row r="297" spans="1:5" x14ac:dyDescent="0.35">
      <c r="A297" s="10" t="s">
        <v>78</v>
      </c>
      <c r="B297" s="10">
        <v>55</v>
      </c>
      <c r="C297" s="10">
        <v>70</v>
      </c>
      <c r="D297" s="10">
        <v>13</v>
      </c>
      <c r="E297" s="10">
        <v>112</v>
      </c>
    </row>
    <row r="298" spans="1:5" x14ac:dyDescent="0.35">
      <c r="A298" s="10" t="s">
        <v>78</v>
      </c>
      <c r="B298" s="10">
        <v>55</v>
      </c>
      <c r="C298" s="10">
        <v>70</v>
      </c>
      <c r="D298" s="10">
        <v>11</v>
      </c>
      <c r="E298" s="10">
        <v>114</v>
      </c>
    </row>
    <row r="299" spans="1:5" x14ac:dyDescent="0.35">
      <c r="A299" s="10" t="s">
        <v>78</v>
      </c>
      <c r="B299" s="10">
        <v>55</v>
      </c>
      <c r="C299" s="10">
        <v>70</v>
      </c>
      <c r="D299" s="10">
        <v>12</v>
      </c>
      <c r="E299" s="10">
        <v>113</v>
      </c>
    </row>
    <row r="300" spans="1:5" x14ac:dyDescent="0.35">
      <c r="A300" s="10" t="s">
        <v>78</v>
      </c>
      <c r="B300" s="10">
        <v>55</v>
      </c>
      <c r="C300" s="10">
        <v>85</v>
      </c>
      <c r="D300" s="10">
        <v>9</v>
      </c>
      <c r="E300" s="10">
        <v>131</v>
      </c>
    </row>
    <row r="301" spans="1:5" x14ac:dyDescent="0.35">
      <c r="A301" s="10" t="s">
        <v>78</v>
      </c>
      <c r="B301" s="10">
        <v>55</v>
      </c>
      <c r="C301" s="10">
        <v>85</v>
      </c>
      <c r="D301" s="10">
        <v>10</v>
      </c>
      <c r="E301" s="10">
        <v>130</v>
      </c>
    </row>
    <row r="302" spans="1:5" x14ac:dyDescent="0.35">
      <c r="A302" s="10" t="s">
        <v>78</v>
      </c>
      <c r="B302" s="10">
        <v>55</v>
      </c>
      <c r="C302" s="10">
        <v>85</v>
      </c>
      <c r="D302" s="10">
        <v>11</v>
      </c>
      <c r="E302" s="10">
        <v>129</v>
      </c>
    </row>
    <row r="303" spans="1:5" x14ac:dyDescent="0.35">
      <c r="A303" s="10" t="s">
        <v>78</v>
      </c>
      <c r="B303" s="10">
        <v>55</v>
      </c>
      <c r="C303" s="10">
        <v>85</v>
      </c>
      <c r="D303" s="10">
        <v>12</v>
      </c>
      <c r="E303" s="10">
        <v>128</v>
      </c>
    </row>
    <row r="304" spans="1:5" x14ac:dyDescent="0.35">
      <c r="A304" s="10" t="s">
        <v>78</v>
      </c>
      <c r="B304" s="10">
        <v>55</v>
      </c>
      <c r="C304" s="10">
        <v>85</v>
      </c>
      <c r="D304" s="10">
        <v>13</v>
      </c>
      <c r="E304" s="10">
        <v>127</v>
      </c>
    </row>
    <row r="305" spans="1:5" x14ac:dyDescent="0.35">
      <c r="A305" s="10" t="s">
        <v>78</v>
      </c>
      <c r="B305" s="10">
        <v>55</v>
      </c>
      <c r="C305" s="10">
        <v>85</v>
      </c>
      <c r="D305" s="10">
        <v>11</v>
      </c>
      <c r="E305" s="10">
        <v>129</v>
      </c>
    </row>
    <row r="306" spans="1:5" x14ac:dyDescent="0.35">
      <c r="A306" s="10" t="s">
        <v>78</v>
      </c>
      <c r="B306" s="10">
        <v>55</v>
      </c>
      <c r="C306" s="10">
        <v>85</v>
      </c>
      <c r="D306" s="10">
        <v>12</v>
      </c>
      <c r="E306" s="10">
        <v>128</v>
      </c>
    </row>
    <row r="307" spans="1:5" x14ac:dyDescent="0.35">
      <c r="A307" s="10" t="s">
        <v>78</v>
      </c>
      <c r="B307" s="10">
        <v>55</v>
      </c>
      <c r="C307" s="10">
        <v>90</v>
      </c>
      <c r="D307" s="10">
        <v>9</v>
      </c>
      <c r="E307" s="10">
        <v>136</v>
      </c>
    </row>
    <row r="308" spans="1:5" x14ac:dyDescent="0.35">
      <c r="A308" s="10" t="s">
        <v>78</v>
      </c>
      <c r="B308" s="10">
        <v>55</v>
      </c>
      <c r="C308" s="10">
        <v>90</v>
      </c>
      <c r="D308" s="10">
        <v>10</v>
      </c>
      <c r="E308" s="10">
        <v>135</v>
      </c>
    </row>
    <row r="309" spans="1:5" x14ac:dyDescent="0.35">
      <c r="A309" s="10" t="s">
        <v>78</v>
      </c>
      <c r="B309" s="10">
        <v>55</v>
      </c>
      <c r="C309" s="10">
        <v>90</v>
      </c>
      <c r="D309" s="10">
        <v>11</v>
      </c>
      <c r="E309" s="10">
        <v>134</v>
      </c>
    </row>
    <row r="310" spans="1:5" x14ac:dyDescent="0.35">
      <c r="A310" s="10" t="s">
        <v>78</v>
      </c>
      <c r="B310" s="10">
        <v>55</v>
      </c>
      <c r="C310" s="10">
        <v>90</v>
      </c>
      <c r="D310" s="10">
        <v>12</v>
      </c>
      <c r="E310" s="10">
        <v>133</v>
      </c>
    </row>
    <row r="311" spans="1:5" x14ac:dyDescent="0.35">
      <c r="A311" s="10" t="s">
        <v>78</v>
      </c>
      <c r="B311" s="10">
        <v>55</v>
      </c>
      <c r="C311" s="10">
        <v>90</v>
      </c>
      <c r="D311" s="10">
        <v>13</v>
      </c>
      <c r="E311" s="10">
        <v>132</v>
      </c>
    </row>
    <row r="312" spans="1:5" x14ac:dyDescent="0.35">
      <c r="A312" s="10" t="s">
        <v>78</v>
      </c>
      <c r="B312" s="10">
        <v>55</v>
      </c>
      <c r="C312" s="10">
        <v>90</v>
      </c>
      <c r="D312" s="10">
        <v>11</v>
      </c>
      <c r="E312" s="10">
        <v>134</v>
      </c>
    </row>
    <row r="313" spans="1:5" x14ac:dyDescent="0.35">
      <c r="A313" s="10" t="s">
        <v>78</v>
      </c>
      <c r="B313" s="10">
        <v>55</v>
      </c>
      <c r="C313" s="10">
        <v>90</v>
      </c>
      <c r="D313" s="10">
        <v>12</v>
      </c>
      <c r="E313" s="10">
        <v>133</v>
      </c>
    </row>
    <row r="314" spans="1:5" x14ac:dyDescent="0.35">
      <c r="A314" s="10" t="s">
        <v>91</v>
      </c>
      <c r="B314" s="10">
        <v>60</v>
      </c>
      <c r="C314" s="10"/>
      <c r="D314" s="10">
        <v>5</v>
      </c>
      <c r="E314" s="10"/>
    </row>
    <row r="315" spans="1:5" x14ac:dyDescent="0.35">
      <c r="A315" s="10" t="s">
        <v>91</v>
      </c>
      <c r="B315" s="10">
        <v>60</v>
      </c>
      <c r="C315" s="10"/>
      <c r="D315" s="10">
        <v>6</v>
      </c>
      <c r="E315" s="10"/>
    </row>
    <row r="316" spans="1:5" x14ac:dyDescent="0.35">
      <c r="A316" s="10" t="s">
        <v>63</v>
      </c>
      <c r="B316" s="10">
        <v>90</v>
      </c>
      <c r="C316" s="10">
        <v>150</v>
      </c>
      <c r="D316" s="10">
        <v>15</v>
      </c>
      <c r="E316" s="10">
        <v>225</v>
      </c>
    </row>
    <row r="317" spans="1:5" x14ac:dyDescent="0.35">
      <c r="A317" s="10" t="s">
        <v>63</v>
      </c>
      <c r="B317" s="10">
        <v>90</v>
      </c>
      <c r="C317" s="10">
        <v>150</v>
      </c>
      <c r="D317" s="10">
        <v>12</v>
      </c>
      <c r="E317" s="10">
        <v>228</v>
      </c>
    </row>
    <row r="318" spans="1:5" x14ac:dyDescent="0.35">
      <c r="A318" s="10" t="s">
        <v>63</v>
      </c>
      <c r="B318" s="10">
        <v>90</v>
      </c>
      <c r="C318" s="10">
        <v>150</v>
      </c>
      <c r="D318" s="10">
        <v>14</v>
      </c>
      <c r="E318" s="10">
        <v>226</v>
      </c>
    </row>
    <row r="319" spans="1:5" x14ac:dyDescent="0.35">
      <c r="A319" s="10" t="s">
        <v>63</v>
      </c>
      <c r="B319" s="10">
        <v>90</v>
      </c>
      <c r="C319" s="10">
        <v>150</v>
      </c>
      <c r="D319" s="10">
        <v>16</v>
      </c>
      <c r="E319" s="10">
        <v>224</v>
      </c>
    </row>
    <row r="320" spans="1:5" x14ac:dyDescent="0.35">
      <c r="A320" s="10" t="s">
        <v>63</v>
      </c>
      <c r="B320" s="10">
        <v>90</v>
      </c>
      <c r="C320" s="10">
        <v>150</v>
      </c>
      <c r="D320" s="10">
        <v>15</v>
      </c>
      <c r="E320" s="10">
        <v>225</v>
      </c>
    </row>
    <row r="321" spans="1:5" x14ac:dyDescent="0.35">
      <c r="A321" s="10" t="s">
        <v>63</v>
      </c>
      <c r="B321" s="10">
        <v>90</v>
      </c>
      <c r="C321" s="10">
        <v>150</v>
      </c>
      <c r="D321" s="10">
        <v>13</v>
      </c>
      <c r="E321" s="10">
        <v>227</v>
      </c>
    </row>
    <row r="322" spans="1:5" x14ac:dyDescent="0.35">
      <c r="A322" s="10" t="s">
        <v>63</v>
      </c>
      <c r="B322" s="10">
        <v>90</v>
      </c>
      <c r="C322" s="10">
        <v>150</v>
      </c>
      <c r="D322" s="10">
        <v>14</v>
      </c>
      <c r="E322" s="10">
        <v>226</v>
      </c>
    </row>
    <row r="323" spans="1:5" x14ac:dyDescent="0.35">
      <c r="A323" s="10" t="s">
        <v>63</v>
      </c>
      <c r="B323" s="10">
        <v>90</v>
      </c>
      <c r="C323" s="10">
        <v>170</v>
      </c>
      <c r="D323" s="10">
        <v>15</v>
      </c>
      <c r="E323" s="10">
        <v>245</v>
      </c>
    </row>
    <row r="324" spans="1:5" x14ac:dyDescent="0.35">
      <c r="A324" s="10" t="s">
        <v>63</v>
      </c>
      <c r="B324" s="10">
        <v>90</v>
      </c>
      <c r="C324" s="10">
        <v>170</v>
      </c>
      <c r="D324" s="10">
        <v>12</v>
      </c>
      <c r="E324" s="10">
        <v>248</v>
      </c>
    </row>
    <row r="325" spans="1:5" x14ac:dyDescent="0.35">
      <c r="A325" s="10" t="s">
        <v>63</v>
      </c>
      <c r="B325" s="10">
        <v>90</v>
      </c>
      <c r="C325" s="10">
        <v>170</v>
      </c>
      <c r="D325" s="10">
        <v>14</v>
      </c>
      <c r="E325" s="10">
        <v>246</v>
      </c>
    </row>
    <row r="326" spans="1:5" x14ac:dyDescent="0.35">
      <c r="A326" s="10" t="s">
        <v>63</v>
      </c>
      <c r="B326" s="10">
        <v>90</v>
      </c>
      <c r="C326" s="10">
        <v>170</v>
      </c>
      <c r="D326" s="10">
        <v>16</v>
      </c>
      <c r="E326" s="10">
        <v>244</v>
      </c>
    </row>
    <row r="327" spans="1:5" x14ac:dyDescent="0.35">
      <c r="A327" s="10" t="s">
        <v>63</v>
      </c>
      <c r="B327" s="10">
        <v>90</v>
      </c>
      <c r="C327" s="10">
        <v>170</v>
      </c>
      <c r="D327" s="10">
        <v>15</v>
      </c>
      <c r="E327" s="10">
        <v>245</v>
      </c>
    </row>
    <row r="328" spans="1:5" x14ac:dyDescent="0.35">
      <c r="A328" s="10" t="s">
        <v>63</v>
      </c>
      <c r="B328" s="10">
        <v>90</v>
      </c>
      <c r="C328" s="10">
        <v>170</v>
      </c>
      <c r="D328" s="10">
        <v>13</v>
      </c>
      <c r="E328" s="10">
        <v>247</v>
      </c>
    </row>
    <row r="329" spans="1:5" x14ac:dyDescent="0.35">
      <c r="A329" s="10" t="s">
        <v>63</v>
      </c>
      <c r="B329" s="10">
        <v>90</v>
      </c>
      <c r="C329" s="10">
        <v>170</v>
      </c>
      <c r="D329" s="10">
        <v>14</v>
      </c>
      <c r="E329" s="10">
        <v>246</v>
      </c>
    </row>
    <row r="330" spans="1:5" x14ac:dyDescent="0.35">
      <c r="A330" s="10" t="s">
        <v>63</v>
      </c>
      <c r="B330" s="10">
        <v>90</v>
      </c>
      <c r="C330" s="10">
        <v>160</v>
      </c>
      <c r="D330" s="10">
        <v>15</v>
      </c>
      <c r="E330" s="10">
        <v>235</v>
      </c>
    </row>
    <row r="331" spans="1:5" x14ac:dyDescent="0.35">
      <c r="A331" s="10" t="s">
        <v>63</v>
      </c>
      <c r="B331" s="10">
        <v>90</v>
      </c>
      <c r="C331" s="10">
        <v>160</v>
      </c>
      <c r="D331" s="10">
        <v>12</v>
      </c>
      <c r="E331" s="10">
        <v>238</v>
      </c>
    </row>
    <row r="332" spans="1:5" x14ac:dyDescent="0.35">
      <c r="A332" s="10" t="s">
        <v>63</v>
      </c>
      <c r="B332" s="10">
        <v>90</v>
      </c>
      <c r="C332" s="10">
        <v>160</v>
      </c>
      <c r="D332" s="10">
        <v>14</v>
      </c>
      <c r="E332" s="10">
        <v>236</v>
      </c>
    </row>
    <row r="333" spans="1:5" x14ac:dyDescent="0.35">
      <c r="A333" s="10" t="s">
        <v>63</v>
      </c>
      <c r="B333" s="10">
        <v>90</v>
      </c>
      <c r="C333" s="10">
        <v>160</v>
      </c>
      <c r="D333" s="10">
        <v>16</v>
      </c>
      <c r="E333" s="10">
        <v>234</v>
      </c>
    </row>
    <row r="334" spans="1:5" x14ac:dyDescent="0.35">
      <c r="A334" s="10" t="s">
        <v>63</v>
      </c>
      <c r="B334" s="10">
        <v>90</v>
      </c>
      <c r="C334" s="10">
        <v>160</v>
      </c>
      <c r="D334" s="10">
        <v>15</v>
      </c>
      <c r="E334" s="10">
        <v>235</v>
      </c>
    </row>
    <row r="335" spans="1:5" x14ac:dyDescent="0.35">
      <c r="A335" s="10" t="s">
        <v>63</v>
      </c>
      <c r="B335" s="10">
        <v>90</v>
      </c>
      <c r="C335" s="10">
        <v>160</v>
      </c>
      <c r="D335" s="10">
        <v>13</v>
      </c>
      <c r="E335" s="10">
        <v>237</v>
      </c>
    </row>
    <row r="336" spans="1:5" x14ac:dyDescent="0.35">
      <c r="A336" s="10" t="s">
        <v>63</v>
      </c>
      <c r="B336" s="10">
        <v>90</v>
      </c>
      <c r="C336" s="10">
        <v>160</v>
      </c>
      <c r="D336" s="10">
        <v>14</v>
      </c>
      <c r="E336" s="10">
        <v>236</v>
      </c>
    </row>
    <row r="337" spans="1:5" x14ac:dyDescent="0.35">
      <c r="A337" s="10" t="s">
        <v>48</v>
      </c>
      <c r="B337" s="10">
        <v>60</v>
      </c>
      <c r="C337" s="10">
        <v>120</v>
      </c>
      <c r="D337" s="10">
        <v>11</v>
      </c>
      <c r="E337" s="10">
        <v>169</v>
      </c>
    </row>
    <row r="338" spans="1:5" x14ac:dyDescent="0.35">
      <c r="A338" s="10" t="s">
        <v>48</v>
      </c>
      <c r="B338" s="10">
        <v>60</v>
      </c>
      <c r="C338" s="10">
        <v>120</v>
      </c>
      <c r="D338" s="10">
        <v>13</v>
      </c>
      <c r="E338" s="10">
        <v>167</v>
      </c>
    </row>
    <row r="339" spans="1:5" x14ac:dyDescent="0.35">
      <c r="A339" s="10" t="s">
        <v>48</v>
      </c>
      <c r="B339" s="10">
        <v>60</v>
      </c>
      <c r="C339" s="10">
        <v>120</v>
      </c>
      <c r="D339" s="10">
        <v>14</v>
      </c>
      <c r="E339" s="10">
        <v>166</v>
      </c>
    </row>
    <row r="340" spans="1:5" x14ac:dyDescent="0.35">
      <c r="A340" s="10" t="s">
        <v>48</v>
      </c>
      <c r="B340" s="10">
        <v>60</v>
      </c>
      <c r="C340" s="10">
        <v>120</v>
      </c>
      <c r="D340" s="10">
        <v>16</v>
      </c>
      <c r="E340" s="10">
        <v>164</v>
      </c>
    </row>
    <row r="341" spans="1:5" x14ac:dyDescent="0.35">
      <c r="A341" s="10" t="s">
        <v>48</v>
      </c>
      <c r="B341" s="10">
        <v>60</v>
      </c>
      <c r="C341" s="10">
        <v>120</v>
      </c>
      <c r="D341" s="10">
        <v>12</v>
      </c>
      <c r="E341" s="10">
        <v>168</v>
      </c>
    </row>
    <row r="342" spans="1:5" x14ac:dyDescent="0.35">
      <c r="A342" s="10" t="s">
        <v>48</v>
      </c>
      <c r="B342" s="10">
        <v>60</v>
      </c>
      <c r="C342" s="10">
        <v>120</v>
      </c>
      <c r="D342" s="10">
        <v>11</v>
      </c>
      <c r="E342" s="10">
        <v>169</v>
      </c>
    </row>
    <row r="343" spans="1:5" x14ac:dyDescent="0.35">
      <c r="A343" s="10" t="s">
        <v>53</v>
      </c>
      <c r="B343" s="10">
        <v>45</v>
      </c>
      <c r="C343" s="10"/>
      <c r="D343" s="10">
        <v>8</v>
      </c>
      <c r="E343" s="10"/>
    </row>
    <row r="344" spans="1:5" x14ac:dyDescent="0.35">
      <c r="A344" s="10" t="s">
        <v>53</v>
      </c>
      <c r="B344" s="10">
        <v>45</v>
      </c>
      <c r="C344" s="10"/>
      <c r="D344" s="10">
        <v>10</v>
      </c>
      <c r="E344" s="10"/>
    </row>
    <row r="345" spans="1:5" x14ac:dyDescent="0.35">
      <c r="A345" s="10" t="s">
        <v>40</v>
      </c>
      <c r="B345" s="10">
        <v>65</v>
      </c>
      <c r="C345" s="10"/>
      <c r="D345" s="10">
        <v>15</v>
      </c>
      <c r="E345" s="10"/>
    </row>
    <row r="346" spans="1:5" x14ac:dyDescent="0.35">
      <c r="A346" s="10" t="s">
        <v>83</v>
      </c>
      <c r="B346" s="10">
        <v>40</v>
      </c>
      <c r="C346" s="10"/>
      <c r="D346" s="10">
        <v>6</v>
      </c>
      <c r="E346" s="10"/>
    </row>
    <row r="347" spans="1:5" x14ac:dyDescent="0.35">
      <c r="A347" s="10" t="s">
        <v>83</v>
      </c>
      <c r="B347" s="10">
        <v>40</v>
      </c>
      <c r="C347" s="10"/>
      <c r="D347" s="10">
        <v>8</v>
      </c>
      <c r="E347" s="10"/>
    </row>
    <row r="348" spans="1:5" x14ac:dyDescent="0.35">
      <c r="A348" s="10" t="s">
        <v>96</v>
      </c>
      <c r="B348" s="10">
        <v>70</v>
      </c>
      <c r="C348" s="10"/>
      <c r="D348" s="10">
        <v>7</v>
      </c>
      <c r="E348" s="10"/>
    </row>
    <row r="349" spans="1:5" x14ac:dyDescent="0.35">
      <c r="A349" s="10" t="s">
        <v>72</v>
      </c>
      <c r="B349" s="10">
        <v>70</v>
      </c>
      <c r="C349" s="10"/>
      <c r="D349" s="10">
        <v>9</v>
      </c>
      <c r="E349" s="10"/>
    </row>
    <row r="350" spans="1:5" x14ac:dyDescent="0.35">
      <c r="A350" s="10" t="s">
        <v>66</v>
      </c>
      <c r="B350" s="10">
        <v>100</v>
      </c>
      <c r="C350" s="10">
        <v>200</v>
      </c>
      <c r="D350" s="10">
        <v>24</v>
      </c>
      <c r="E350" s="10">
        <v>276</v>
      </c>
    </row>
    <row r="351" spans="1:5" x14ac:dyDescent="0.35">
      <c r="A351" s="10" t="s">
        <v>66</v>
      </c>
      <c r="B351" s="10">
        <v>100</v>
      </c>
      <c r="C351" s="10">
        <v>220</v>
      </c>
      <c r="D351" s="10">
        <v>24</v>
      </c>
      <c r="E351" s="10">
        <v>296</v>
      </c>
    </row>
    <row r="352" spans="1:5" x14ac:dyDescent="0.35">
      <c r="A352" s="10" t="s">
        <v>66</v>
      </c>
      <c r="B352" s="10">
        <v>100</v>
      </c>
      <c r="C352" s="10">
        <v>200</v>
      </c>
      <c r="D352" s="10">
        <v>24</v>
      </c>
      <c r="E352" s="10">
        <v>276</v>
      </c>
    </row>
    <row r="353" spans="1:5" x14ac:dyDescent="0.35">
      <c r="A353" s="10" t="s">
        <v>66</v>
      </c>
      <c r="B353" s="10">
        <v>100</v>
      </c>
      <c r="C353" s="10">
        <v>210</v>
      </c>
      <c r="D353" s="10">
        <v>24</v>
      </c>
      <c r="E353" s="10">
        <v>286</v>
      </c>
    </row>
    <row r="354" spans="1:5" x14ac:dyDescent="0.35">
      <c r="A354" s="10" t="s">
        <v>66</v>
      </c>
      <c r="B354" s="10">
        <v>100</v>
      </c>
      <c r="C354" s="10">
        <v>200</v>
      </c>
      <c r="D354" s="10">
        <v>24</v>
      </c>
      <c r="E354" s="10">
        <v>276</v>
      </c>
    </row>
    <row r="355" spans="1:5" x14ac:dyDescent="0.35">
      <c r="A355" s="10" t="s">
        <v>66</v>
      </c>
      <c r="B355" s="10">
        <v>100</v>
      </c>
      <c r="C355" s="10">
        <v>210</v>
      </c>
      <c r="D355" s="10">
        <v>24</v>
      </c>
      <c r="E355" s="10">
        <v>286</v>
      </c>
    </row>
    <row r="356" spans="1:5" x14ac:dyDescent="0.35">
      <c r="A356" s="10" t="s">
        <v>38</v>
      </c>
      <c r="B356" s="10">
        <v>100</v>
      </c>
      <c r="C356" s="10">
        <v>180</v>
      </c>
      <c r="D356" s="10">
        <v>28</v>
      </c>
      <c r="E356" s="10">
        <v>252</v>
      </c>
    </row>
    <row r="357" spans="1:5" x14ac:dyDescent="0.35">
      <c r="A357" s="10" t="s">
        <v>38</v>
      </c>
      <c r="B357" s="10">
        <v>100</v>
      </c>
      <c r="C357" s="10">
        <v>200</v>
      </c>
      <c r="D357" s="10">
        <v>28</v>
      </c>
      <c r="E357" s="10">
        <v>272</v>
      </c>
    </row>
    <row r="358" spans="1:5" x14ac:dyDescent="0.35">
      <c r="A358" s="10" t="s">
        <v>38</v>
      </c>
      <c r="B358" s="10">
        <v>100</v>
      </c>
      <c r="C358" s="10">
        <v>180</v>
      </c>
      <c r="D358" s="10">
        <v>28</v>
      </c>
      <c r="E358" s="10">
        <v>252</v>
      </c>
    </row>
    <row r="359" spans="1:5" x14ac:dyDescent="0.35">
      <c r="A359" s="10" t="s">
        <v>38</v>
      </c>
      <c r="B359" s="10">
        <v>100</v>
      </c>
      <c r="C359" s="10">
        <v>200</v>
      </c>
      <c r="D359" s="10">
        <v>28</v>
      </c>
      <c r="E359" s="10">
        <v>272</v>
      </c>
    </row>
    <row r="360" spans="1:5" x14ac:dyDescent="0.35">
      <c r="A360" s="10" t="s">
        <v>38</v>
      </c>
      <c r="B360" s="10">
        <v>100</v>
      </c>
      <c r="C360" s="10">
        <v>190</v>
      </c>
      <c r="D360" s="10">
        <v>28</v>
      </c>
      <c r="E360" s="10">
        <v>262</v>
      </c>
    </row>
    <row r="361" spans="1:5" x14ac:dyDescent="0.35">
      <c r="A361" s="10" t="s">
        <v>38</v>
      </c>
      <c r="B361" s="10">
        <v>100</v>
      </c>
      <c r="C361" s="10">
        <v>180</v>
      </c>
      <c r="D361" s="10">
        <v>28</v>
      </c>
      <c r="E361" s="10">
        <v>252</v>
      </c>
    </row>
    <row r="362" spans="1:5" x14ac:dyDescent="0.35">
      <c r="A362" s="10" t="s">
        <v>35</v>
      </c>
      <c r="B362" s="10">
        <v>70</v>
      </c>
      <c r="C362" s="10">
        <v>120</v>
      </c>
      <c r="D362" s="10">
        <v>16</v>
      </c>
      <c r="E362" s="10">
        <v>174</v>
      </c>
    </row>
    <row r="363" spans="1:5" x14ac:dyDescent="0.35">
      <c r="A363" s="10" t="s">
        <v>35</v>
      </c>
      <c r="B363" s="10">
        <v>70</v>
      </c>
      <c r="C363" s="10">
        <v>140</v>
      </c>
      <c r="D363" s="10">
        <v>16</v>
      </c>
      <c r="E363" s="10">
        <v>194</v>
      </c>
    </row>
    <row r="364" spans="1:5" x14ac:dyDescent="0.35">
      <c r="A364" s="10" t="s">
        <v>35</v>
      </c>
      <c r="B364" s="10">
        <v>70</v>
      </c>
      <c r="C364" s="10">
        <v>130</v>
      </c>
      <c r="D364" s="10">
        <v>16</v>
      </c>
      <c r="E364" s="10">
        <v>184</v>
      </c>
    </row>
    <row r="365" spans="1:5" x14ac:dyDescent="0.35">
      <c r="A365" s="10" t="s">
        <v>35</v>
      </c>
      <c r="B365" s="10">
        <v>70</v>
      </c>
      <c r="C365" s="10">
        <v>140</v>
      </c>
      <c r="D365" s="10">
        <v>16</v>
      </c>
      <c r="E365" s="10">
        <v>194</v>
      </c>
    </row>
    <row r="366" spans="1:5" x14ac:dyDescent="0.35">
      <c r="A366" s="10" t="s">
        <v>35</v>
      </c>
      <c r="B366" s="10">
        <v>70</v>
      </c>
      <c r="C366" s="10">
        <v>150</v>
      </c>
      <c r="D366" s="10">
        <v>16</v>
      </c>
      <c r="E366" s="10">
        <v>204</v>
      </c>
    </row>
    <row r="367" spans="1:5" x14ac:dyDescent="0.35">
      <c r="A367" s="10" t="s">
        <v>48</v>
      </c>
      <c r="B367" s="10">
        <v>60</v>
      </c>
      <c r="C367" s="10">
        <v>120</v>
      </c>
      <c r="D367" s="10">
        <v>15</v>
      </c>
      <c r="E367" s="10">
        <v>165</v>
      </c>
    </row>
    <row r="368" spans="1:5" x14ac:dyDescent="0.35">
      <c r="A368" s="10" t="s">
        <v>46</v>
      </c>
      <c r="B368" s="10">
        <v>50</v>
      </c>
      <c r="C368" s="10">
        <v>90</v>
      </c>
      <c r="D368" s="10">
        <v>12</v>
      </c>
      <c r="E368" s="10">
        <v>128</v>
      </c>
    </row>
    <row r="369" spans="1:5" x14ac:dyDescent="0.35">
      <c r="A369" s="10" t="s">
        <v>46</v>
      </c>
      <c r="B369" s="10">
        <v>50</v>
      </c>
      <c r="C369" s="10">
        <v>100</v>
      </c>
      <c r="D369" s="10">
        <v>12</v>
      </c>
      <c r="E369" s="10">
        <v>138</v>
      </c>
    </row>
    <row r="370" spans="1:5" x14ac:dyDescent="0.35">
      <c r="A370" s="10" t="s">
        <v>46</v>
      </c>
      <c r="B370" s="10">
        <v>50</v>
      </c>
      <c r="C370" s="10">
        <v>120</v>
      </c>
      <c r="D370" s="10">
        <v>12</v>
      </c>
      <c r="E370" s="10">
        <v>158</v>
      </c>
    </row>
    <row r="371" spans="1:5" x14ac:dyDescent="0.35">
      <c r="A371" s="10" t="s">
        <v>46</v>
      </c>
      <c r="B371" s="10">
        <v>50</v>
      </c>
      <c r="C371" s="10">
        <v>85</v>
      </c>
      <c r="D371" s="10">
        <v>12</v>
      </c>
      <c r="E371" s="10">
        <v>123</v>
      </c>
    </row>
    <row r="372" spans="1:5" x14ac:dyDescent="0.35">
      <c r="A372" s="10" t="s">
        <v>46</v>
      </c>
      <c r="B372" s="10">
        <v>50</v>
      </c>
      <c r="C372" s="10">
        <v>95</v>
      </c>
      <c r="D372" s="10">
        <v>12</v>
      </c>
      <c r="E372" s="10">
        <v>133</v>
      </c>
    </row>
    <row r="373" spans="1:5" x14ac:dyDescent="0.35">
      <c r="A373" s="10" t="s">
        <v>46</v>
      </c>
      <c r="B373" s="10">
        <v>50</v>
      </c>
      <c r="C373" s="10">
        <v>100</v>
      </c>
      <c r="D373" s="10">
        <v>12</v>
      </c>
      <c r="E373" s="10">
        <v>138</v>
      </c>
    </row>
    <row r="374" spans="1:5" x14ac:dyDescent="0.35">
      <c r="A374" s="10" t="s">
        <v>78</v>
      </c>
      <c r="B374" s="10">
        <v>55</v>
      </c>
      <c r="C374" s="10">
        <v>80</v>
      </c>
      <c r="D374" s="10">
        <v>14</v>
      </c>
      <c r="E374" s="10">
        <v>121</v>
      </c>
    </row>
    <row r="375" spans="1:5" x14ac:dyDescent="0.35">
      <c r="A375" s="10" t="s">
        <v>78</v>
      </c>
      <c r="B375" s="10">
        <v>55</v>
      </c>
      <c r="C375" s="10">
        <v>90</v>
      </c>
      <c r="D375" s="10">
        <v>14</v>
      </c>
      <c r="E375" s="10">
        <v>131</v>
      </c>
    </row>
    <row r="376" spans="1:5" x14ac:dyDescent="0.35">
      <c r="A376" s="10" t="s">
        <v>78</v>
      </c>
      <c r="B376" s="10">
        <v>55</v>
      </c>
      <c r="C376" s="10">
        <v>70</v>
      </c>
      <c r="D376" s="10">
        <v>14</v>
      </c>
      <c r="E376" s="10">
        <v>111</v>
      </c>
    </row>
    <row r="377" spans="1:5" x14ac:dyDescent="0.35">
      <c r="A377" s="10" t="s">
        <v>78</v>
      </c>
      <c r="B377" s="10">
        <v>55</v>
      </c>
      <c r="C377" s="10">
        <v>85</v>
      </c>
      <c r="D377" s="10">
        <v>14</v>
      </c>
      <c r="E377" s="10">
        <v>126</v>
      </c>
    </row>
    <row r="378" spans="1:5" x14ac:dyDescent="0.35">
      <c r="A378" s="10" t="s">
        <v>78</v>
      </c>
      <c r="B378" s="10">
        <v>55</v>
      </c>
      <c r="C378" s="10">
        <v>90</v>
      </c>
      <c r="D378" s="10">
        <v>14</v>
      </c>
      <c r="E378" s="10">
        <v>131</v>
      </c>
    </row>
    <row r="379" spans="1:5" x14ac:dyDescent="0.35">
      <c r="A379" s="10" t="s">
        <v>63</v>
      </c>
      <c r="B379" s="10">
        <v>90</v>
      </c>
      <c r="C379" s="10">
        <v>150</v>
      </c>
      <c r="D379" s="10">
        <v>18</v>
      </c>
      <c r="E379" s="10">
        <v>222</v>
      </c>
    </row>
    <row r="380" spans="1:5" x14ac:dyDescent="0.35">
      <c r="A380" s="10" t="s">
        <v>63</v>
      </c>
      <c r="B380" s="10">
        <v>90</v>
      </c>
      <c r="C380" s="10">
        <v>170</v>
      </c>
      <c r="D380" s="10">
        <v>18</v>
      </c>
      <c r="E380" s="10">
        <v>242</v>
      </c>
    </row>
    <row r="381" spans="1:5" x14ac:dyDescent="0.35">
      <c r="A381" s="10" t="s">
        <v>63</v>
      </c>
      <c r="B381" s="10">
        <v>90</v>
      </c>
      <c r="C381" s="10">
        <v>160</v>
      </c>
      <c r="D381" s="10">
        <v>18</v>
      </c>
      <c r="E381" s="10">
        <v>232</v>
      </c>
    </row>
    <row r="382" spans="1:5" x14ac:dyDescent="0.35">
      <c r="A382" s="10" t="s">
        <v>5</v>
      </c>
      <c r="B382" s="10">
        <v>60</v>
      </c>
      <c r="C382" s="10">
        <v>120</v>
      </c>
      <c r="D382" s="10">
        <v>16</v>
      </c>
      <c r="E382" s="10">
        <v>164</v>
      </c>
    </row>
    <row r="383" spans="1:5" x14ac:dyDescent="0.35">
      <c r="A383" s="10" t="s">
        <v>5</v>
      </c>
      <c r="B383" s="10">
        <v>60</v>
      </c>
      <c r="C383" s="10">
        <v>110</v>
      </c>
      <c r="D383" s="10">
        <v>16</v>
      </c>
      <c r="E383" s="10">
        <v>154</v>
      </c>
    </row>
    <row r="384" spans="1:5" x14ac:dyDescent="0.35">
      <c r="A384" s="10" t="s">
        <v>20</v>
      </c>
      <c r="B384" s="10">
        <v>120</v>
      </c>
      <c r="C384" s="10">
        <v>300</v>
      </c>
      <c r="D384" s="10">
        <v>42</v>
      </c>
      <c r="E384" s="10">
        <v>378</v>
      </c>
    </row>
    <row r="385" spans="1:5" x14ac:dyDescent="0.35">
      <c r="A385" s="10" t="s">
        <v>20</v>
      </c>
      <c r="B385" s="10">
        <v>120</v>
      </c>
      <c r="C385" s="10">
        <v>350</v>
      </c>
      <c r="D385" s="10">
        <v>42</v>
      </c>
      <c r="E385" s="10">
        <v>428</v>
      </c>
    </row>
    <row r="386" spans="1:5" x14ac:dyDescent="0.35">
      <c r="A386" s="10" t="s">
        <v>20</v>
      </c>
      <c r="B386" s="10">
        <v>120</v>
      </c>
      <c r="C386" s="10">
        <v>320</v>
      </c>
      <c r="D386" s="10">
        <v>42</v>
      </c>
      <c r="E386" s="10">
        <v>398</v>
      </c>
    </row>
    <row r="387" spans="1:5" x14ac:dyDescent="0.35">
      <c r="A387" s="10" t="s">
        <v>20</v>
      </c>
      <c r="B387" s="10">
        <v>120</v>
      </c>
      <c r="C387" s="10">
        <v>350</v>
      </c>
      <c r="D387" s="10">
        <v>42</v>
      </c>
      <c r="E387" s="10">
        <v>428</v>
      </c>
    </row>
    <row r="388" spans="1:5" x14ac:dyDescent="0.35">
      <c r="A388" s="10" t="s">
        <v>20</v>
      </c>
      <c r="B388" s="10">
        <v>120</v>
      </c>
      <c r="C388" s="10">
        <v>300</v>
      </c>
      <c r="D388" s="10">
        <v>42</v>
      </c>
      <c r="E388" s="10">
        <v>378</v>
      </c>
    </row>
    <row r="389" spans="1:5" x14ac:dyDescent="0.35">
      <c r="A389" s="10" t="s">
        <v>20</v>
      </c>
      <c r="B389" s="10">
        <v>120</v>
      </c>
      <c r="C389" s="10">
        <v>320</v>
      </c>
      <c r="D389" s="10">
        <v>42</v>
      </c>
      <c r="E389" s="10">
        <v>398</v>
      </c>
    </row>
    <row r="390" spans="1:5" x14ac:dyDescent="0.35">
      <c r="A390" s="10" t="s">
        <v>38</v>
      </c>
      <c r="B390" s="10">
        <v>100</v>
      </c>
      <c r="C390" s="10">
        <v>180</v>
      </c>
      <c r="D390" s="10">
        <v>30</v>
      </c>
      <c r="E390" s="10">
        <v>250</v>
      </c>
    </row>
    <row r="391" spans="1:5" x14ac:dyDescent="0.35">
      <c r="A391" s="10" t="s">
        <v>38</v>
      </c>
      <c r="B391" s="10">
        <v>100</v>
      </c>
      <c r="C391" s="10">
        <v>200</v>
      </c>
      <c r="D391" s="10">
        <v>30</v>
      </c>
      <c r="E391" s="10">
        <v>270</v>
      </c>
    </row>
    <row r="392" spans="1:5" x14ac:dyDescent="0.35">
      <c r="A392" s="10" t="s">
        <v>38</v>
      </c>
      <c r="B392" s="10">
        <v>100</v>
      </c>
      <c r="C392" s="10">
        <v>180</v>
      </c>
      <c r="D392" s="10">
        <v>30</v>
      </c>
      <c r="E392" s="10">
        <v>250</v>
      </c>
    </row>
    <row r="393" spans="1:5" x14ac:dyDescent="0.35">
      <c r="A393" s="10" t="s">
        <v>38</v>
      </c>
      <c r="B393" s="10">
        <v>100</v>
      </c>
      <c r="C393" s="10">
        <v>200</v>
      </c>
      <c r="D393" s="10">
        <v>30</v>
      </c>
      <c r="E393" s="10">
        <v>270</v>
      </c>
    </row>
    <row r="394" spans="1:5" x14ac:dyDescent="0.35">
      <c r="A394" s="10" t="s">
        <v>38</v>
      </c>
      <c r="B394" s="10">
        <v>100</v>
      </c>
      <c r="C394" s="10">
        <v>190</v>
      </c>
      <c r="D394" s="10">
        <v>30</v>
      </c>
      <c r="E394" s="10">
        <v>260</v>
      </c>
    </row>
    <row r="395" spans="1:5" x14ac:dyDescent="0.35">
      <c r="A395" s="10" t="s">
        <v>38</v>
      </c>
      <c r="B395" s="10">
        <v>100</v>
      </c>
      <c r="C395" s="10">
        <v>180</v>
      </c>
      <c r="D395" s="10">
        <v>30</v>
      </c>
      <c r="E395" s="10">
        <v>250</v>
      </c>
    </row>
    <row r="396" spans="1:5" x14ac:dyDescent="0.35">
      <c r="A396" s="10" t="s">
        <v>35</v>
      </c>
      <c r="B396" s="10">
        <v>70</v>
      </c>
      <c r="C396" s="10">
        <v>120</v>
      </c>
      <c r="D396" s="10">
        <v>18</v>
      </c>
      <c r="E396" s="10">
        <v>172</v>
      </c>
    </row>
    <row r="397" spans="1:5" x14ac:dyDescent="0.35">
      <c r="A397" s="10" t="s">
        <v>35</v>
      </c>
      <c r="B397" s="10">
        <v>70</v>
      </c>
      <c r="C397" s="10">
        <v>140</v>
      </c>
      <c r="D397" s="10">
        <v>18</v>
      </c>
      <c r="E397" s="10">
        <v>192</v>
      </c>
    </row>
    <row r="398" spans="1:5" x14ac:dyDescent="0.35">
      <c r="A398" s="10" t="s">
        <v>35</v>
      </c>
      <c r="B398" s="10">
        <v>70</v>
      </c>
      <c r="C398" s="10">
        <v>130</v>
      </c>
      <c r="D398" s="10">
        <v>18</v>
      </c>
      <c r="E398" s="10">
        <v>182</v>
      </c>
    </row>
    <row r="399" spans="1:5" x14ac:dyDescent="0.35">
      <c r="A399" s="10" t="s">
        <v>35</v>
      </c>
      <c r="B399" s="10">
        <v>70</v>
      </c>
      <c r="C399" s="10">
        <v>140</v>
      </c>
      <c r="D399" s="10">
        <v>18</v>
      </c>
      <c r="E399" s="10">
        <v>192</v>
      </c>
    </row>
    <row r="400" spans="1:5" x14ac:dyDescent="0.35">
      <c r="A400" s="10" t="s">
        <v>35</v>
      </c>
      <c r="B400" s="10">
        <v>70</v>
      </c>
      <c r="C400" s="10">
        <v>150</v>
      </c>
      <c r="D400" s="10">
        <v>18</v>
      </c>
      <c r="E400" s="10">
        <v>202</v>
      </c>
    </row>
    <row r="401" spans="1:5" x14ac:dyDescent="0.35">
      <c r="A401" s="10" t="s">
        <v>66</v>
      </c>
      <c r="B401" s="10">
        <v>100</v>
      </c>
      <c r="C401" s="10">
        <v>200</v>
      </c>
      <c r="D401" s="10">
        <v>25</v>
      </c>
      <c r="E401" s="10">
        <v>275</v>
      </c>
    </row>
    <row r="402" spans="1:5" x14ac:dyDescent="0.35">
      <c r="A402" s="10" t="s">
        <v>66</v>
      </c>
      <c r="B402" s="10">
        <v>100</v>
      </c>
      <c r="C402" s="10">
        <v>220</v>
      </c>
      <c r="D402" s="10">
        <v>25</v>
      </c>
      <c r="E402" s="10">
        <v>295</v>
      </c>
    </row>
    <row r="403" spans="1:5" x14ac:dyDescent="0.35">
      <c r="A403" s="10" t="s">
        <v>66</v>
      </c>
      <c r="B403" s="10">
        <v>100</v>
      </c>
      <c r="C403" s="10">
        <v>200</v>
      </c>
      <c r="D403" s="10">
        <v>25</v>
      </c>
      <c r="E403" s="10">
        <v>275</v>
      </c>
    </row>
    <row r="404" spans="1:5" x14ac:dyDescent="0.35">
      <c r="A404" s="10" t="s">
        <v>66</v>
      </c>
      <c r="B404" s="10">
        <v>100</v>
      </c>
      <c r="C404" s="10">
        <v>210</v>
      </c>
      <c r="D404" s="10">
        <v>25</v>
      </c>
      <c r="E404" s="10">
        <v>285</v>
      </c>
    </row>
    <row r="405" spans="1:5" x14ac:dyDescent="0.35">
      <c r="A405" s="10" t="s">
        <v>66</v>
      </c>
      <c r="B405" s="10">
        <v>100</v>
      </c>
      <c r="C405" s="10">
        <v>200</v>
      </c>
      <c r="D405" s="10">
        <v>25</v>
      </c>
      <c r="E405" s="10">
        <v>275</v>
      </c>
    </row>
    <row r="406" spans="1:5" x14ac:dyDescent="0.35">
      <c r="A406" s="10" t="s">
        <v>66</v>
      </c>
      <c r="B406" s="10">
        <v>100</v>
      </c>
      <c r="C406" s="10">
        <v>210</v>
      </c>
      <c r="D406" s="10">
        <v>25</v>
      </c>
      <c r="E406" s="10">
        <v>285</v>
      </c>
    </row>
    <row r="407" spans="1:5" x14ac:dyDescent="0.35">
      <c r="A407" s="10" t="s">
        <v>46</v>
      </c>
      <c r="B407" s="10">
        <v>50</v>
      </c>
      <c r="C407" s="10">
        <v>90</v>
      </c>
      <c r="D407" s="10">
        <v>13</v>
      </c>
      <c r="E407" s="10">
        <v>127</v>
      </c>
    </row>
    <row r="408" spans="1:5" x14ac:dyDescent="0.35">
      <c r="A408" s="10" t="s">
        <v>46</v>
      </c>
      <c r="B408" s="10">
        <v>50</v>
      </c>
      <c r="C408" s="10">
        <v>100</v>
      </c>
      <c r="D408" s="10">
        <v>13</v>
      </c>
      <c r="E408" s="10">
        <v>137</v>
      </c>
    </row>
    <row r="409" spans="1:5" x14ac:dyDescent="0.35">
      <c r="A409" s="10" t="s">
        <v>46</v>
      </c>
      <c r="B409" s="10">
        <v>50</v>
      </c>
      <c r="C409" s="10">
        <v>120</v>
      </c>
      <c r="D409" s="10">
        <v>13</v>
      </c>
      <c r="E409" s="10">
        <v>157</v>
      </c>
    </row>
    <row r="410" spans="1:5" x14ac:dyDescent="0.35">
      <c r="A410" s="10" t="s">
        <v>46</v>
      </c>
      <c r="B410" s="10">
        <v>50</v>
      </c>
      <c r="C410" s="10">
        <v>85</v>
      </c>
      <c r="D410" s="10">
        <v>13</v>
      </c>
      <c r="E410" s="10">
        <v>122</v>
      </c>
    </row>
    <row r="411" spans="1:5" x14ac:dyDescent="0.35">
      <c r="A411" s="10" t="s">
        <v>46</v>
      </c>
      <c r="B411" s="10">
        <v>50</v>
      </c>
      <c r="C411" s="10">
        <v>95</v>
      </c>
      <c r="D411" s="10">
        <v>13</v>
      </c>
      <c r="E411" s="10">
        <v>132</v>
      </c>
    </row>
    <row r="412" spans="1:5" x14ac:dyDescent="0.35">
      <c r="A412" s="10" t="s">
        <v>46</v>
      </c>
      <c r="B412" s="10">
        <v>50</v>
      </c>
      <c r="C412" s="10">
        <v>100</v>
      </c>
      <c r="D412" s="10">
        <v>13</v>
      </c>
      <c r="E412" s="10">
        <v>137</v>
      </c>
    </row>
    <row r="413" spans="1:5" x14ac:dyDescent="0.35">
      <c r="A413" s="10" t="s">
        <v>63</v>
      </c>
      <c r="B413" s="10">
        <v>90</v>
      </c>
      <c r="C413" s="10">
        <v>150</v>
      </c>
      <c r="D413" s="10">
        <v>20</v>
      </c>
      <c r="E413" s="10">
        <v>220</v>
      </c>
    </row>
    <row r="414" spans="1:5" x14ac:dyDescent="0.35">
      <c r="A414" s="10" t="s">
        <v>63</v>
      </c>
      <c r="B414" s="10">
        <v>90</v>
      </c>
      <c r="C414" s="10">
        <v>170</v>
      </c>
      <c r="D414" s="10">
        <v>20</v>
      </c>
      <c r="E414" s="10">
        <v>240</v>
      </c>
    </row>
    <row r="415" spans="1:5" x14ac:dyDescent="0.35">
      <c r="A415" s="10" t="s">
        <v>63</v>
      </c>
      <c r="B415" s="10">
        <v>90</v>
      </c>
      <c r="C415" s="10">
        <v>160</v>
      </c>
      <c r="D415" s="10">
        <v>20</v>
      </c>
      <c r="E415" s="10">
        <v>230</v>
      </c>
    </row>
    <row r="416" spans="1:5" x14ac:dyDescent="0.35">
      <c r="A416" s="10" t="s">
        <v>5</v>
      </c>
      <c r="B416" s="10">
        <v>60</v>
      </c>
      <c r="C416" s="10">
        <v>120</v>
      </c>
      <c r="D416" s="10">
        <v>18</v>
      </c>
      <c r="E416" s="10">
        <v>162</v>
      </c>
    </row>
    <row r="417" spans="1:5" x14ac:dyDescent="0.35">
      <c r="A417" s="10" t="s">
        <v>5</v>
      </c>
      <c r="B417" s="10">
        <v>60</v>
      </c>
      <c r="C417" s="10">
        <v>110</v>
      </c>
      <c r="D417" s="10">
        <v>18</v>
      </c>
      <c r="E417" s="10">
        <v>152</v>
      </c>
    </row>
    <row r="418" spans="1:5" x14ac:dyDescent="0.35">
      <c r="A418" s="10" t="s">
        <v>48</v>
      </c>
      <c r="B418" s="10">
        <v>60</v>
      </c>
      <c r="C418" s="10">
        <v>120</v>
      </c>
      <c r="D418" s="10">
        <v>17</v>
      </c>
      <c r="E418" s="10">
        <v>163</v>
      </c>
    </row>
    <row r="419" spans="1:5" x14ac:dyDescent="0.35">
      <c r="A419" s="10" t="s">
        <v>78</v>
      </c>
      <c r="B419" s="10">
        <v>55</v>
      </c>
      <c r="C419" s="10">
        <v>80</v>
      </c>
      <c r="D419" s="10">
        <v>15</v>
      </c>
      <c r="E419" s="10">
        <v>120</v>
      </c>
    </row>
    <row r="420" spans="1:5" x14ac:dyDescent="0.35">
      <c r="A420" s="10" t="s">
        <v>78</v>
      </c>
      <c r="B420" s="10">
        <v>55</v>
      </c>
      <c r="C420" s="10">
        <v>90</v>
      </c>
      <c r="D420" s="10">
        <v>15</v>
      </c>
      <c r="E420" s="10">
        <v>130</v>
      </c>
    </row>
    <row r="421" spans="1:5" x14ac:dyDescent="0.35">
      <c r="A421" s="10" t="s">
        <v>78</v>
      </c>
      <c r="B421" s="10">
        <v>55</v>
      </c>
      <c r="C421" s="10">
        <v>70</v>
      </c>
      <c r="D421" s="10">
        <v>15</v>
      </c>
      <c r="E421" s="10">
        <v>110</v>
      </c>
    </row>
    <row r="422" spans="1:5" x14ac:dyDescent="0.35">
      <c r="A422" s="10" t="s">
        <v>78</v>
      </c>
      <c r="B422" s="10">
        <v>55</v>
      </c>
      <c r="C422" s="10">
        <v>85</v>
      </c>
      <c r="D422" s="10">
        <v>15</v>
      </c>
      <c r="E422" s="10">
        <v>125</v>
      </c>
    </row>
    <row r="423" spans="1:5" x14ac:dyDescent="0.35">
      <c r="A423" s="10" t="s">
        <v>78</v>
      </c>
      <c r="B423" s="10">
        <v>55</v>
      </c>
      <c r="C423" s="10">
        <v>90</v>
      </c>
      <c r="D423" s="10">
        <v>15</v>
      </c>
      <c r="E423" s="10">
        <v>130</v>
      </c>
    </row>
    <row r="424" spans="1:5" x14ac:dyDescent="0.35">
      <c r="A424" s="10" t="s">
        <v>20</v>
      </c>
      <c r="B424" s="10">
        <v>120</v>
      </c>
      <c r="C424" s="10">
        <v>300</v>
      </c>
      <c r="D424" s="10">
        <v>45</v>
      </c>
      <c r="E424" s="10">
        <v>375</v>
      </c>
    </row>
    <row r="425" spans="1:5" x14ac:dyDescent="0.35">
      <c r="A425" s="10" t="s">
        <v>20</v>
      </c>
      <c r="B425" s="10">
        <v>120</v>
      </c>
      <c r="C425" s="10">
        <v>350</v>
      </c>
      <c r="D425" s="10">
        <v>45</v>
      </c>
      <c r="E425" s="10">
        <v>425</v>
      </c>
    </row>
    <row r="426" spans="1:5" x14ac:dyDescent="0.35">
      <c r="A426" s="10" t="s">
        <v>20</v>
      </c>
      <c r="B426" s="10">
        <v>120</v>
      </c>
      <c r="C426" s="10">
        <v>320</v>
      </c>
      <c r="D426" s="10">
        <v>45</v>
      </c>
      <c r="E426" s="10">
        <v>395</v>
      </c>
    </row>
    <row r="427" spans="1:5" x14ac:dyDescent="0.35">
      <c r="A427" s="10" t="s">
        <v>20</v>
      </c>
      <c r="B427" s="10">
        <v>120</v>
      </c>
      <c r="C427" s="10">
        <v>350</v>
      </c>
      <c r="D427" s="10">
        <v>45</v>
      </c>
      <c r="E427" s="10">
        <v>425</v>
      </c>
    </row>
    <row r="428" spans="1:5" x14ac:dyDescent="0.35">
      <c r="A428" s="10" t="s">
        <v>20</v>
      </c>
      <c r="B428" s="10">
        <v>120</v>
      </c>
      <c r="C428" s="10">
        <v>300</v>
      </c>
      <c r="D428" s="10">
        <v>45</v>
      </c>
      <c r="E428" s="10">
        <v>375</v>
      </c>
    </row>
    <row r="429" spans="1:5" x14ac:dyDescent="0.35">
      <c r="A429" s="10" t="s">
        <v>20</v>
      </c>
      <c r="B429" s="10">
        <v>120</v>
      </c>
      <c r="C429" s="10">
        <v>320</v>
      </c>
      <c r="D429" s="10">
        <v>45</v>
      </c>
      <c r="E429" s="10">
        <v>395</v>
      </c>
    </row>
    <row r="430" spans="1:5" x14ac:dyDescent="0.35">
      <c r="A430" s="10" t="s">
        <v>8</v>
      </c>
      <c r="B430" s="10">
        <v>80</v>
      </c>
      <c r="C430" s="10"/>
      <c r="D430" s="10"/>
      <c r="E430" s="10"/>
    </row>
    <row r="431" spans="1:5" x14ac:dyDescent="0.35">
      <c r="A431" s="10" t="s">
        <v>10</v>
      </c>
      <c r="B431" s="10">
        <v>50</v>
      </c>
      <c r="C431" s="10"/>
      <c r="D431" s="10"/>
      <c r="E431" s="10"/>
    </row>
    <row r="432" spans="1:5" x14ac:dyDescent="0.35">
      <c r="A432" s="10" t="s">
        <v>12</v>
      </c>
      <c r="B432" s="10">
        <v>45</v>
      </c>
      <c r="C432" s="10"/>
      <c r="D432" s="10"/>
      <c r="E432" s="10"/>
    </row>
    <row r="433" spans="1:5" x14ac:dyDescent="0.35">
      <c r="A433" s="10" t="s">
        <v>14</v>
      </c>
      <c r="B433" s="10">
        <v>55</v>
      </c>
      <c r="C433" s="10"/>
      <c r="D433" s="10"/>
      <c r="E433" s="10"/>
    </row>
    <row r="434" spans="1:5" x14ac:dyDescent="0.35">
      <c r="A434" s="10" t="s">
        <v>16</v>
      </c>
      <c r="B434" s="10">
        <v>40</v>
      </c>
      <c r="C434" s="10"/>
      <c r="D434" s="10"/>
      <c r="E434" s="10"/>
    </row>
    <row r="435" spans="1:5" x14ac:dyDescent="0.35">
      <c r="A435" s="10" t="s">
        <v>18</v>
      </c>
      <c r="B435" s="10">
        <v>50</v>
      </c>
      <c r="C435" s="10"/>
      <c r="D435" s="10"/>
      <c r="E435" s="10"/>
    </row>
    <row r="436" spans="1:5" x14ac:dyDescent="0.35">
      <c r="A436" s="10" t="s">
        <v>23</v>
      </c>
      <c r="B436" s="10">
        <v>90</v>
      </c>
      <c r="C436" s="10"/>
      <c r="D436" s="10"/>
      <c r="E436" s="10"/>
    </row>
    <row r="437" spans="1:5" x14ac:dyDescent="0.35">
      <c r="A437" s="10" t="s">
        <v>25</v>
      </c>
      <c r="B437" s="10">
        <v>35</v>
      </c>
      <c r="C437" s="10"/>
      <c r="D437" s="10"/>
      <c r="E437" s="10"/>
    </row>
    <row r="438" spans="1:5" x14ac:dyDescent="0.35">
      <c r="A438" s="10" t="s">
        <v>27</v>
      </c>
      <c r="B438" s="10">
        <v>150</v>
      </c>
      <c r="C438" s="10"/>
      <c r="D438" s="10"/>
      <c r="E438" s="10"/>
    </row>
    <row r="439" spans="1:5" x14ac:dyDescent="0.35">
      <c r="A439" s="10" t="s">
        <v>29</v>
      </c>
      <c r="B439" s="10">
        <v>85</v>
      </c>
      <c r="C439" s="10"/>
      <c r="D439" s="10"/>
      <c r="E439" s="10"/>
    </row>
    <row r="440" spans="1:5" x14ac:dyDescent="0.35">
      <c r="A440" s="10" t="s">
        <v>31</v>
      </c>
      <c r="B440" s="10">
        <v>110</v>
      </c>
      <c r="C440" s="10"/>
      <c r="D440" s="10"/>
      <c r="E440" s="10"/>
    </row>
    <row r="441" spans="1:5" x14ac:dyDescent="0.35">
      <c r="A441" s="10" t="s">
        <v>33</v>
      </c>
      <c r="B441" s="10">
        <v>60</v>
      </c>
      <c r="C441" s="10"/>
      <c r="D441" s="10"/>
      <c r="E441" s="10"/>
    </row>
    <row r="442" spans="1:5" x14ac:dyDescent="0.35">
      <c r="A442" s="10" t="s">
        <v>42</v>
      </c>
      <c r="B442" s="10">
        <v>60</v>
      </c>
      <c r="C442" s="10"/>
      <c r="D442" s="10"/>
      <c r="E442" s="10"/>
    </row>
    <row r="443" spans="1:5" x14ac:dyDescent="0.35">
      <c r="A443" s="10" t="s">
        <v>44</v>
      </c>
      <c r="B443" s="10">
        <v>75</v>
      </c>
      <c r="C443" s="10"/>
      <c r="D443" s="10"/>
      <c r="E443" s="10"/>
    </row>
    <row r="444" spans="1:5" x14ac:dyDescent="0.35">
      <c r="A444" s="10" t="s">
        <v>50</v>
      </c>
      <c r="B444" s="10">
        <v>40</v>
      </c>
      <c r="C444" s="10"/>
      <c r="D444" s="10"/>
      <c r="E444" s="10"/>
    </row>
    <row r="445" spans="1:5" x14ac:dyDescent="0.35">
      <c r="A445" s="10" t="s">
        <v>55</v>
      </c>
      <c r="B445" s="10">
        <v>50</v>
      </c>
      <c r="C445" s="10"/>
      <c r="D445" s="10"/>
      <c r="E445" s="10"/>
    </row>
    <row r="446" spans="1:5" x14ac:dyDescent="0.35">
      <c r="A446" s="10" t="s">
        <v>57</v>
      </c>
      <c r="B446" s="10">
        <v>35</v>
      </c>
      <c r="C446" s="10"/>
      <c r="D446" s="10"/>
      <c r="E446" s="10"/>
    </row>
    <row r="447" spans="1:5" x14ac:dyDescent="0.35">
      <c r="A447" s="10" t="s">
        <v>59</v>
      </c>
      <c r="B447" s="10">
        <v>30</v>
      </c>
      <c r="C447" s="10"/>
      <c r="D447" s="10"/>
      <c r="E447" s="10"/>
    </row>
    <row r="448" spans="1:5" x14ac:dyDescent="0.35">
      <c r="A448" s="10" t="s">
        <v>61</v>
      </c>
      <c r="B448" s="10">
        <v>40</v>
      </c>
      <c r="C448" s="10"/>
      <c r="D448" s="10"/>
      <c r="E448" s="10"/>
    </row>
    <row r="449" spans="1:5" x14ac:dyDescent="0.35">
      <c r="A449" s="10" t="s">
        <v>68</v>
      </c>
      <c r="B449" s="10">
        <v>80</v>
      </c>
      <c r="C449" s="10"/>
      <c r="D449" s="10"/>
      <c r="E449" s="10"/>
    </row>
    <row r="450" spans="1:5" x14ac:dyDescent="0.35">
      <c r="A450" s="10" t="s">
        <v>70</v>
      </c>
      <c r="B450" s="10">
        <v>85</v>
      </c>
      <c r="C450" s="10"/>
      <c r="D450" s="10"/>
      <c r="E450" s="10"/>
    </row>
    <row r="451" spans="1:5" x14ac:dyDescent="0.35">
      <c r="A451" s="10" t="s">
        <v>74</v>
      </c>
      <c r="B451" s="10">
        <v>60</v>
      </c>
      <c r="C451" s="10"/>
      <c r="D451" s="10"/>
      <c r="E451" s="10"/>
    </row>
    <row r="452" spans="1:5" x14ac:dyDescent="0.35">
      <c r="A452" s="10" t="s">
        <v>76</v>
      </c>
      <c r="B452" s="10">
        <v>50</v>
      </c>
      <c r="C452" s="10"/>
      <c r="D452" s="10"/>
      <c r="E452" s="10"/>
    </row>
    <row r="453" spans="1:5" x14ac:dyDescent="0.35">
      <c r="A453" s="10" t="s">
        <v>81</v>
      </c>
      <c r="B453" s="10">
        <v>45</v>
      </c>
      <c r="C453" s="10"/>
      <c r="D453" s="10"/>
      <c r="E453" s="10"/>
    </row>
    <row r="454" spans="1:5" x14ac:dyDescent="0.35">
      <c r="A454" s="10" t="s">
        <v>85</v>
      </c>
      <c r="B454" s="10">
        <v>35</v>
      </c>
      <c r="C454" s="10"/>
      <c r="D454" s="10"/>
      <c r="E454" s="10"/>
    </row>
    <row r="455" spans="1:5" x14ac:dyDescent="0.35">
      <c r="A455" s="10" t="s">
        <v>87</v>
      </c>
      <c r="B455" s="10">
        <v>30</v>
      </c>
      <c r="C455" s="10"/>
      <c r="D455" s="10"/>
      <c r="E455" s="10"/>
    </row>
    <row r="456" spans="1:5" x14ac:dyDescent="0.35">
      <c r="A456" s="10" t="s">
        <v>89</v>
      </c>
      <c r="B456" s="10">
        <v>25</v>
      </c>
      <c r="C456" s="10"/>
      <c r="D456" s="10"/>
      <c r="E456" s="10"/>
    </row>
    <row r="457" spans="1:5" x14ac:dyDescent="0.35">
      <c r="A457" s="10" t="s">
        <v>94</v>
      </c>
      <c r="B457" s="10">
        <v>45</v>
      </c>
      <c r="C457" s="10"/>
      <c r="D457" s="10"/>
      <c r="E457" s="10"/>
    </row>
    <row r="458" spans="1:5" x14ac:dyDescent="0.35">
      <c r="A458" s="10" t="s">
        <v>98</v>
      </c>
      <c r="B458" s="10">
        <v>50</v>
      </c>
      <c r="C458" s="10"/>
      <c r="D458" s="10"/>
      <c r="E458" s="10"/>
    </row>
    <row r="459" spans="1:5" x14ac:dyDescent="0.35">
      <c r="A459" s="10" t="s">
        <v>100</v>
      </c>
      <c r="B459" s="10">
        <v>40</v>
      </c>
      <c r="C459" s="10"/>
      <c r="D459" s="10"/>
      <c r="E459" s="10"/>
    </row>
    <row r="460" spans="1:5" x14ac:dyDescent="0.35">
      <c r="A460" s="10" t="s">
        <v>102</v>
      </c>
      <c r="B460" s="10">
        <v>35</v>
      </c>
      <c r="C460" s="10"/>
      <c r="D460" s="10"/>
      <c r="E460" s="10"/>
    </row>
    <row r="461" spans="1:5" x14ac:dyDescent="0.35">
      <c r="A461" s="10" t="s">
        <v>104</v>
      </c>
      <c r="B461" s="10">
        <v>30</v>
      </c>
      <c r="C461" s="10"/>
      <c r="D461" s="10"/>
      <c r="E461" s="10"/>
    </row>
    <row r="462" spans="1:5" x14ac:dyDescent="0.35">
      <c r="A462" s="10" t="s">
        <v>106</v>
      </c>
      <c r="B462" s="10">
        <v>45</v>
      </c>
      <c r="C462" s="10"/>
      <c r="D462" s="10"/>
      <c r="E462" s="10"/>
    </row>
    <row r="463" spans="1:5" x14ac:dyDescent="0.35">
      <c r="A463" s="10" t="s">
        <v>109</v>
      </c>
      <c r="B463" s="10">
        <v>40</v>
      </c>
      <c r="C463" s="10"/>
      <c r="D463" s="10"/>
      <c r="E463" s="10"/>
    </row>
    <row r="464" spans="1:5" x14ac:dyDescent="0.35">
      <c r="A464" s="10" t="s">
        <v>111</v>
      </c>
      <c r="B464" s="10">
        <v>55</v>
      </c>
      <c r="C464" s="10"/>
      <c r="D464" s="10"/>
      <c r="E464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8"/>
  <sheetViews>
    <sheetView topLeftCell="D81" zoomScale="85" zoomScaleNormal="85" workbookViewId="0">
      <selection activeCell="K107" sqref="K107"/>
    </sheetView>
  </sheetViews>
  <sheetFormatPr defaultRowHeight="14.5" x14ac:dyDescent="0.35"/>
  <cols>
    <col min="1" max="1" width="9.26953125" bestFit="1" customWidth="1"/>
    <col min="2" max="2" width="10.453125" bestFit="1" customWidth="1"/>
    <col min="3" max="3" width="7.90625" style="25" bestFit="1" customWidth="1"/>
    <col min="4" max="4" width="12.54296875" bestFit="1" customWidth="1"/>
    <col min="5" max="5" width="10.453125" bestFit="1" customWidth="1"/>
    <col min="6" max="6" width="11.7265625" bestFit="1" customWidth="1"/>
    <col min="7" max="7" width="12.54296875" bestFit="1" customWidth="1"/>
    <col min="8" max="8" width="14.54296875" bestFit="1" customWidth="1"/>
    <col min="9" max="9" width="21.453125" customWidth="1"/>
    <col min="10" max="10" width="11.26953125" customWidth="1"/>
    <col min="11" max="11" width="14.6328125" customWidth="1"/>
    <col min="12" max="13" width="4.90625" customWidth="1"/>
    <col min="14" max="14" width="12.54296875" bestFit="1" customWidth="1"/>
    <col min="15" max="15" width="26.26953125" customWidth="1"/>
    <col min="16" max="24" width="4.90625" customWidth="1"/>
    <col min="25" max="25" width="10.7265625" customWidth="1"/>
    <col min="26" max="59" width="2.81640625" customWidth="1"/>
    <col min="60" max="60" width="10.7265625" bestFit="1" customWidth="1"/>
  </cols>
  <sheetData>
    <row r="1" spans="1:15" ht="15" thickBot="1" x14ac:dyDescent="0.4">
      <c r="A1" s="10" t="s">
        <v>113</v>
      </c>
      <c r="B1" s="7" t="s">
        <v>114</v>
      </c>
      <c r="C1" s="10" t="s">
        <v>278</v>
      </c>
      <c r="D1" s="10" t="s">
        <v>0</v>
      </c>
      <c r="E1" s="10" t="s">
        <v>115</v>
      </c>
      <c r="F1" s="10" t="s">
        <v>116</v>
      </c>
      <c r="G1" s="9" t="s">
        <v>117</v>
      </c>
    </row>
    <row r="2" spans="1:15" ht="15" thickBot="1" x14ac:dyDescent="0.4">
      <c r="A2" s="10" t="s">
        <v>118</v>
      </c>
      <c r="B2" s="7">
        <v>45660</v>
      </c>
      <c r="C2" s="10">
        <v>1</v>
      </c>
      <c r="D2" s="10" t="s">
        <v>66</v>
      </c>
      <c r="E2" s="10">
        <v>12</v>
      </c>
      <c r="F2" s="10">
        <v>4.95</v>
      </c>
      <c r="G2" s="9">
        <v>59.4</v>
      </c>
      <c r="I2" s="11" t="s">
        <v>266</v>
      </c>
      <c r="J2" s="17">
        <f>SUM(Sales[Total_Sales])</f>
        <v>9920.8000000000011</v>
      </c>
    </row>
    <row r="3" spans="1:15" ht="15" thickBot="1" x14ac:dyDescent="0.4">
      <c r="A3" s="10" t="s">
        <v>119</v>
      </c>
      <c r="B3" s="7">
        <v>45662</v>
      </c>
      <c r="C3" s="10">
        <v>2</v>
      </c>
      <c r="D3" s="10" t="s">
        <v>20</v>
      </c>
      <c r="E3" s="10">
        <v>24</v>
      </c>
      <c r="F3" s="10">
        <v>2</v>
      </c>
      <c r="G3" s="9">
        <v>48</v>
      </c>
      <c r="I3" s="11" t="s">
        <v>267</v>
      </c>
      <c r="J3" s="13">
        <f>SUM(Sales[Quantity])</f>
        <v>1712</v>
      </c>
    </row>
    <row r="4" spans="1:15" ht="15" thickBot="1" x14ac:dyDescent="0.4">
      <c r="A4" s="10" t="s">
        <v>120</v>
      </c>
      <c r="B4" s="7">
        <v>45663</v>
      </c>
      <c r="C4" s="10">
        <v>2</v>
      </c>
      <c r="D4" s="10" t="s">
        <v>38</v>
      </c>
      <c r="E4" s="10">
        <v>18</v>
      </c>
      <c r="F4" s="10">
        <v>3</v>
      </c>
      <c r="G4" s="9">
        <v>54</v>
      </c>
      <c r="I4" s="11" t="s">
        <v>272</v>
      </c>
      <c r="J4" s="18">
        <f>Total_Units_Sold/365</f>
        <v>4.6904109589041099</v>
      </c>
    </row>
    <row r="5" spans="1:15" x14ac:dyDescent="0.35">
      <c r="A5" s="10" t="s">
        <v>121</v>
      </c>
      <c r="B5" s="7">
        <v>45665</v>
      </c>
      <c r="C5" s="10">
        <v>2</v>
      </c>
      <c r="D5" s="10" t="s">
        <v>5</v>
      </c>
      <c r="E5" s="10">
        <v>10</v>
      </c>
      <c r="F5" s="10">
        <v>5.75</v>
      </c>
      <c r="G5" s="9">
        <v>57.5</v>
      </c>
    </row>
    <row r="6" spans="1:15" x14ac:dyDescent="0.35">
      <c r="A6" s="10" t="s">
        <v>122</v>
      </c>
      <c r="B6" s="7">
        <v>45667</v>
      </c>
      <c r="C6" s="10">
        <v>2</v>
      </c>
      <c r="D6" s="10" t="s">
        <v>46</v>
      </c>
      <c r="E6" s="10">
        <v>6</v>
      </c>
      <c r="F6" s="10">
        <v>14.95</v>
      </c>
      <c r="G6" s="9">
        <v>89.7</v>
      </c>
    </row>
    <row r="7" spans="1:15" x14ac:dyDescent="0.35">
      <c r="A7" s="10" t="s">
        <v>123</v>
      </c>
      <c r="B7" s="7">
        <v>45669</v>
      </c>
      <c r="C7" s="10">
        <v>3</v>
      </c>
      <c r="D7" s="10" t="s">
        <v>35</v>
      </c>
      <c r="E7" s="10">
        <v>7</v>
      </c>
      <c r="F7" s="10">
        <v>9.5</v>
      </c>
      <c r="G7" s="9">
        <v>66.5</v>
      </c>
      <c r="I7" s="26" t="s">
        <v>0</v>
      </c>
      <c r="J7" s="26" t="s">
        <v>278</v>
      </c>
      <c r="K7" s="8" t="s">
        <v>280</v>
      </c>
      <c r="N7" t="s">
        <v>0</v>
      </c>
      <c r="O7" t="s">
        <v>281</v>
      </c>
    </row>
    <row r="8" spans="1:15" x14ac:dyDescent="0.35">
      <c r="A8" s="10" t="s">
        <v>124</v>
      </c>
      <c r="B8" s="7">
        <v>45672</v>
      </c>
      <c r="C8" s="10">
        <v>3</v>
      </c>
      <c r="D8" s="10" t="s">
        <v>78</v>
      </c>
      <c r="E8" s="10">
        <v>9</v>
      </c>
      <c r="F8" s="10">
        <v>15.95</v>
      </c>
      <c r="G8" s="9">
        <v>143.55000000000001</v>
      </c>
      <c r="I8" s="8" t="s">
        <v>5</v>
      </c>
      <c r="J8" s="8">
        <v>2</v>
      </c>
      <c r="K8" s="10">
        <v>10</v>
      </c>
      <c r="N8" t="s">
        <v>5</v>
      </c>
      <c r="O8" s="24">
        <v>14.2</v>
      </c>
    </row>
    <row r="9" spans="1:15" x14ac:dyDescent="0.35">
      <c r="A9" s="10" t="s">
        <v>125</v>
      </c>
      <c r="B9" s="7">
        <v>45675</v>
      </c>
      <c r="C9" s="10">
        <v>3</v>
      </c>
      <c r="D9" s="10" t="s">
        <v>91</v>
      </c>
      <c r="E9" s="10">
        <v>5</v>
      </c>
      <c r="F9" s="10">
        <v>10.5</v>
      </c>
      <c r="G9" s="9">
        <v>52.5</v>
      </c>
      <c r="I9" s="8" t="s">
        <v>5</v>
      </c>
      <c r="J9" s="8">
        <v>10</v>
      </c>
      <c r="K9" s="10">
        <v>13</v>
      </c>
      <c r="N9" t="s">
        <v>20</v>
      </c>
      <c r="O9" s="24">
        <v>34.166666666666664</v>
      </c>
    </row>
    <row r="10" spans="1:15" x14ac:dyDescent="0.35">
      <c r="A10" s="10" t="s">
        <v>126</v>
      </c>
      <c r="B10" s="7">
        <v>45677</v>
      </c>
      <c r="C10" s="10">
        <v>4</v>
      </c>
      <c r="D10" s="10" t="s">
        <v>63</v>
      </c>
      <c r="E10" s="10">
        <v>15</v>
      </c>
      <c r="F10" s="10">
        <v>7.95</v>
      </c>
      <c r="G10" s="9">
        <v>119.25</v>
      </c>
      <c r="I10" s="8" t="s">
        <v>5</v>
      </c>
      <c r="J10" s="8">
        <v>17</v>
      </c>
      <c r="K10" s="10">
        <v>14</v>
      </c>
      <c r="N10" t="s">
        <v>35</v>
      </c>
      <c r="O10" s="24">
        <v>12.818181818181818</v>
      </c>
    </row>
    <row r="11" spans="1:15" x14ac:dyDescent="0.35">
      <c r="A11" s="10" t="s">
        <v>127</v>
      </c>
      <c r="B11" s="7">
        <v>45680</v>
      </c>
      <c r="C11" s="10">
        <v>4</v>
      </c>
      <c r="D11" s="10" t="s">
        <v>48</v>
      </c>
      <c r="E11" s="10">
        <v>11</v>
      </c>
      <c r="F11" s="10">
        <v>4.75</v>
      </c>
      <c r="G11" s="9">
        <v>52.25</v>
      </c>
      <c r="I11" s="8" t="s">
        <v>5</v>
      </c>
      <c r="J11" s="8">
        <v>28</v>
      </c>
      <c r="K11" s="10">
        <v>15</v>
      </c>
      <c r="N11" t="s">
        <v>38</v>
      </c>
      <c r="O11" s="24">
        <v>24.333333333333332</v>
      </c>
    </row>
    <row r="12" spans="1:15" x14ac:dyDescent="0.35">
      <c r="A12" s="10" t="s">
        <v>128</v>
      </c>
      <c r="B12" s="7">
        <v>45690</v>
      </c>
      <c r="C12" s="10">
        <v>6</v>
      </c>
      <c r="D12" s="10" t="s">
        <v>38</v>
      </c>
      <c r="E12" s="10">
        <v>20</v>
      </c>
      <c r="F12" s="10">
        <v>3</v>
      </c>
      <c r="G12" s="9">
        <v>60</v>
      </c>
      <c r="I12" s="8" t="s">
        <v>5</v>
      </c>
      <c r="J12" s="8">
        <v>33</v>
      </c>
      <c r="K12" s="10">
        <v>17</v>
      </c>
      <c r="N12" t="s">
        <v>40</v>
      </c>
      <c r="O12">
        <v>15</v>
      </c>
    </row>
    <row r="13" spans="1:15" x14ac:dyDescent="0.35">
      <c r="A13" s="10" t="s">
        <v>129</v>
      </c>
      <c r="B13" s="7">
        <v>45692</v>
      </c>
      <c r="C13" s="10">
        <v>6</v>
      </c>
      <c r="D13" s="10" t="s">
        <v>66</v>
      </c>
      <c r="E13" s="10">
        <v>14</v>
      </c>
      <c r="F13" s="10">
        <v>4.95</v>
      </c>
      <c r="G13" s="9">
        <v>69.3</v>
      </c>
      <c r="I13" s="8" t="s">
        <v>5</v>
      </c>
      <c r="J13" s="8">
        <v>39</v>
      </c>
      <c r="K13" s="10">
        <v>14</v>
      </c>
      <c r="N13" t="s">
        <v>46</v>
      </c>
      <c r="O13">
        <v>9.5</v>
      </c>
    </row>
    <row r="14" spans="1:15" x14ac:dyDescent="0.35">
      <c r="A14" s="10" t="s">
        <v>130</v>
      </c>
      <c r="B14" s="7">
        <v>45695</v>
      </c>
      <c r="C14" s="10">
        <v>6</v>
      </c>
      <c r="D14" s="10" t="s">
        <v>20</v>
      </c>
      <c r="E14" s="10">
        <v>30</v>
      </c>
      <c r="F14" s="10">
        <v>2</v>
      </c>
      <c r="G14" s="9">
        <v>60</v>
      </c>
      <c r="I14" s="8" t="s">
        <v>5</v>
      </c>
      <c r="J14" s="8">
        <v>43</v>
      </c>
      <c r="K14" s="10">
        <v>12</v>
      </c>
      <c r="N14" t="s">
        <v>48</v>
      </c>
      <c r="O14" s="24">
        <v>13.625</v>
      </c>
    </row>
    <row r="15" spans="1:15" x14ac:dyDescent="0.35">
      <c r="A15" s="10" t="s">
        <v>131</v>
      </c>
      <c r="B15" s="7">
        <v>45699</v>
      </c>
      <c r="C15" s="10">
        <v>7</v>
      </c>
      <c r="D15" s="10" t="s">
        <v>53</v>
      </c>
      <c r="E15" s="10">
        <v>8</v>
      </c>
      <c r="F15" s="10">
        <v>4.5</v>
      </c>
      <c r="G15" s="9">
        <v>36</v>
      </c>
      <c r="I15" s="8" t="s">
        <v>5</v>
      </c>
      <c r="J15" s="8">
        <v>48</v>
      </c>
      <c r="K15" s="10">
        <v>13</v>
      </c>
      <c r="N15" t="s">
        <v>53</v>
      </c>
      <c r="O15">
        <v>9</v>
      </c>
    </row>
    <row r="16" spans="1:15" x14ac:dyDescent="0.35">
      <c r="A16" s="10" t="s">
        <v>132</v>
      </c>
      <c r="B16" s="7">
        <v>45702</v>
      </c>
      <c r="C16" s="10">
        <v>7</v>
      </c>
      <c r="D16" s="10" t="s">
        <v>40</v>
      </c>
      <c r="E16" s="10">
        <v>15</v>
      </c>
      <c r="F16" s="10">
        <v>2.75</v>
      </c>
      <c r="G16" s="9">
        <v>41.25</v>
      </c>
      <c r="I16" s="8" t="s">
        <v>5</v>
      </c>
      <c r="J16" s="8">
        <v>52</v>
      </c>
      <c r="K16" s="10">
        <v>16</v>
      </c>
      <c r="N16" t="s">
        <v>63</v>
      </c>
      <c r="O16" s="24">
        <v>15.222222222222221</v>
      </c>
    </row>
    <row r="17" spans="1:15" x14ac:dyDescent="0.35">
      <c r="A17" s="10" t="s">
        <v>133</v>
      </c>
      <c r="B17" s="7">
        <v>45706</v>
      </c>
      <c r="C17" s="10">
        <v>8</v>
      </c>
      <c r="D17" s="10" t="s">
        <v>83</v>
      </c>
      <c r="E17" s="10">
        <v>6</v>
      </c>
      <c r="F17" s="10">
        <v>11.5</v>
      </c>
      <c r="G17" s="9">
        <v>69</v>
      </c>
      <c r="I17" s="8" t="s">
        <v>5</v>
      </c>
      <c r="J17" s="8">
        <v>53</v>
      </c>
      <c r="K17" s="10">
        <v>18</v>
      </c>
      <c r="N17" t="s">
        <v>66</v>
      </c>
      <c r="O17" s="24">
        <v>18.666666666666668</v>
      </c>
    </row>
    <row r="18" spans="1:15" x14ac:dyDescent="0.35">
      <c r="A18" s="10" t="s">
        <v>134</v>
      </c>
      <c r="B18" s="7">
        <v>45708</v>
      </c>
      <c r="C18" s="10">
        <v>8</v>
      </c>
      <c r="D18" s="10" t="s">
        <v>96</v>
      </c>
      <c r="E18" s="10">
        <v>7</v>
      </c>
      <c r="F18" s="10">
        <v>5</v>
      </c>
      <c r="G18" s="9">
        <v>35</v>
      </c>
      <c r="I18" s="8" t="s">
        <v>20</v>
      </c>
      <c r="J18" s="8">
        <v>2</v>
      </c>
      <c r="K18" s="10">
        <v>24</v>
      </c>
      <c r="N18" t="s">
        <v>72</v>
      </c>
      <c r="O18">
        <v>9</v>
      </c>
    </row>
    <row r="19" spans="1:15" x14ac:dyDescent="0.35">
      <c r="A19" s="10" t="s">
        <v>135</v>
      </c>
      <c r="B19" s="7">
        <v>45712</v>
      </c>
      <c r="C19" s="10">
        <v>9</v>
      </c>
      <c r="D19" s="10" t="s">
        <v>72</v>
      </c>
      <c r="E19" s="10">
        <v>9</v>
      </c>
      <c r="F19" s="10">
        <v>8.5</v>
      </c>
      <c r="G19" s="9">
        <v>76.5</v>
      </c>
      <c r="I19" s="8" t="s">
        <v>20</v>
      </c>
      <c r="J19" s="8">
        <v>6</v>
      </c>
      <c r="K19" s="10">
        <v>30</v>
      </c>
      <c r="N19" t="s">
        <v>78</v>
      </c>
      <c r="O19" s="24">
        <v>11.888888888888889</v>
      </c>
    </row>
    <row r="20" spans="1:15" x14ac:dyDescent="0.35">
      <c r="A20" s="10" t="s">
        <v>136</v>
      </c>
      <c r="B20" s="7">
        <v>45718</v>
      </c>
      <c r="C20" s="10">
        <v>10</v>
      </c>
      <c r="D20" s="10" t="s">
        <v>46</v>
      </c>
      <c r="E20" s="10">
        <v>8</v>
      </c>
      <c r="F20" s="10">
        <v>14.95</v>
      </c>
      <c r="G20" s="9">
        <v>119.6</v>
      </c>
      <c r="I20" s="8" t="s">
        <v>20</v>
      </c>
      <c r="J20" s="8">
        <v>12</v>
      </c>
      <c r="K20" s="10">
        <v>26</v>
      </c>
      <c r="N20" t="s">
        <v>83</v>
      </c>
      <c r="O20">
        <v>7</v>
      </c>
    </row>
    <row r="21" spans="1:15" x14ac:dyDescent="0.35">
      <c r="A21" s="10" t="s">
        <v>137</v>
      </c>
      <c r="B21" s="7">
        <v>45721</v>
      </c>
      <c r="C21" s="10">
        <v>10</v>
      </c>
      <c r="D21" s="10" t="s">
        <v>35</v>
      </c>
      <c r="E21" s="10">
        <v>10</v>
      </c>
      <c r="F21" s="10">
        <v>9.5</v>
      </c>
      <c r="G21" s="9">
        <v>95</v>
      </c>
      <c r="I21" s="8" t="s">
        <v>20</v>
      </c>
      <c r="J21" s="8">
        <v>19</v>
      </c>
      <c r="K21" s="10">
        <v>28</v>
      </c>
      <c r="N21" t="s">
        <v>91</v>
      </c>
      <c r="O21">
        <v>5.5</v>
      </c>
    </row>
    <row r="22" spans="1:15" x14ac:dyDescent="0.35">
      <c r="A22" s="10" t="s">
        <v>138</v>
      </c>
      <c r="B22" s="7">
        <v>45724</v>
      </c>
      <c r="C22" s="10">
        <v>10</v>
      </c>
      <c r="D22" s="10" t="s">
        <v>5</v>
      </c>
      <c r="E22" s="10">
        <v>13</v>
      </c>
      <c r="F22" s="10">
        <v>5.75</v>
      </c>
      <c r="G22" s="9">
        <v>74.75</v>
      </c>
      <c r="I22" s="8" t="s">
        <v>20</v>
      </c>
      <c r="J22" s="8">
        <v>25</v>
      </c>
      <c r="K22" s="10">
        <v>35</v>
      </c>
      <c r="N22" t="s">
        <v>96</v>
      </c>
      <c r="O22">
        <v>7</v>
      </c>
    </row>
    <row r="23" spans="1:15" x14ac:dyDescent="0.35">
      <c r="A23" s="10" t="s">
        <v>139</v>
      </c>
      <c r="B23" s="7">
        <v>45728</v>
      </c>
      <c r="C23" s="10">
        <v>11</v>
      </c>
      <c r="D23" s="10" t="s">
        <v>66</v>
      </c>
      <c r="E23" s="10">
        <v>16</v>
      </c>
      <c r="F23" s="10">
        <v>4.95</v>
      </c>
      <c r="G23" s="9">
        <v>79.2</v>
      </c>
      <c r="I23" s="8" t="s">
        <v>20</v>
      </c>
      <c r="J23" s="8">
        <v>30</v>
      </c>
      <c r="K23" s="10">
        <v>38</v>
      </c>
    </row>
    <row r="24" spans="1:15" x14ac:dyDescent="0.35">
      <c r="A24" s="10" t="s">
        <v>140</v>
      </c>
      <c r="B24" s="7">
        <v>45732</v>
      </c>
      <c r="C24" s="10">
        <v>12</v>
      </c>
      <c r="D24" s="10" t="s">
        <v>20</v>
      </c>
      <c r="E24" s="10">
        <v>26</v>
      </c>
      <c r="F24" s="10">
        <v>2</v>
      </c>
      <c r="G24" s="9">
        <v>52</v>
      </c>
      <c r="I24" s="8" t="s">
        <v>20</v>
      </c>
      <c r="J24" s="8">
        <v>34</v>
      </c>
      <c r="K24" s="10">
        <v>40</v>
      </c>
    </row>
    <row r="25" spans="1:15" x14ac:dyDescent="0.35">
      <c r="A25" s="10" t="s">
        <v>141</v>
      </c>
      <c r="B25" s="7">
        <v>45734</v>
      </c>
      <c r="C25" s="10">
        <v>12</v>
      </c>
      <c r="D25" s="10" t="s">
        <v>38</v>
      </c>
      <c r="E25" s="10">
        <v>21</v>
      </c>
      <c r="F25" s="10">
        <v>3</v>
      </c>
      <c r="G25" s="9">
        <v>63</v>
      </c>
      <c r="I25" s="8" t="s">
        <v>20</v>
      </c>
      <c r="J25" s="8">
        <v>39</v>
      </c>
      <c r="K25" s="10">
        <v>34</v>
      </c>
    </row>
    <row r="26" spans="1:15" x14ac:dyDescent="0.35">
      <c r="A26" s="10" t="s">
        <v>142</v>
      </c>
      <c r="B26" s="7">
        <v>45738</v>
      </c>
      <c r="C26" s="10">
        <v>12</v>
      </c>
      <c r="D26" s="10" t="s">
        <v>78</v>
      </c>
      <c r="E26" s="10">
        <v>10</v>
      </c>
      <c r="F26" s="10">
        <v>15.95</v>
      </c>
      <c r="G26" s="9">
        <v>159.5</v>
      </c>
      <c r="I26" s="8" t="s">
        <v>20</v>
      </c>
      <c r="J26" s="8">
        <v>43</v>
      </c>
      <c r="K26" s="10">
        <v>32</v>
      </c>
    </row>
    <row r="27" spans="1:15" x14ac:dyDescent="0.35">
      <c r="A27" s="10" t="s">
        <v>143</v>
      </c>
      <c r="B27" s="7">
        <v>45749</v>
      </c>
      <c r="C27" s="10">
        <v>14</v>
      </c>
      <c r="D27" s="10" t="s">
        <v>63</v>
      </c>
      <c r="E27" s="10">
        <v>12</v>
      </c>
      <c r="F27" s="10">
        <v>7.95</v>
      </c>
      <c r="G27" s="9">
        <v>95.4</v>
      </c>
      <c r="I27" s="8" t="s">
        <v>20</v>
      </c>
      <c r="J27" s="8">
        <v>48</v>
      </c>
      <c r="K27" s="10">
        <v>36</v>
      </c>
    </row>
    <row r="28" spans="1:15" x14ac:dyDescent="0.35">
      <c r="A28" s="10" t="s">
        <v>144</v>
      </c>
      <c r="B28" s="7">
        <v>45752</v>
      </c>
      <c r="C28" s="10">
        <v>14</v>
      </c>
      <c r="D28" s="10" t="s">
        <v>35</v>
      </c>
      <c r="E28" s="10">
        <v>11</v>
      </c>
      <c r="F28" s="10">
        <v>9.5</v>
      </c>
      <c r="G28" s="9">
        <v>104.5</v>
      </c>
      <c r="I28" s="8" t="s">
        <v>20</v>
      </c>
      <c r="J28" s="8">
        <v>52</v>
      </c>
      <c r="K28" s="10">
        <v>42</v>
      </c>
    </row>
    <row r="29" spans="1:15" x14ac:dyDescent="0.35">
      <c r="A29" s="10" t="s">
        <v>145</v>
      </c>
      <c r="B29" s="7">
        <v>45755</v>
      </c>
      <c r="C29" s="10">
        <v>15</v>
      </c>
      <c r="D29" s="10" t="s">
        <v>91</v>
      </c>
      <c r="E29" s="10">
        <v>6</v>
      </c>
      <c r="F29" s="10">
        <v>10.5</v>
      </c>
      <c r="G29" s="9">
        <v>63</v>
      </c>
      <c r="I29" s="8" t="s">
        <v>20</v>
      </c>
      <c r="J29" s="8">
        <v>53</v>
      </c>
      <c r="K29" s="10">
        <v>45</v>
      </c>
    </row>
    <row r="30" spans="1:15" x14ac:dyDescent="0.35">
      <c r="A30" s="10" t="s">
        <v>146</v>
      </c>
      <c r="B30" s="7">
        <v>45757</v>
      </c>
      <c r="C30" s="10">
        <v>15</v>
      </c>
      <c r="D30" s="10" t="s">
        <v>66</v>
      </c>
      <c r="E30" s="10">
        <v>15</v>
      </c>
      <c r="F30" s="10">
        <v>4.95</v>
      </c>
      <c r="G30" s="9">
        <v>74.25</v>
      </c>
      <c r="I30" s="8" t="s">
        <v>35</v>
      </c>
      <c r="J30" s="8">
        <v>3</v>
      </c>
      <c r="K30" s="10">
        <v>7</v>
      </c>
    </row>
    <row r="31" spans="1:15" x14ac:dyDescent="0.35">
      <c r="A31" s="10" t="s">
        <v>147</v>
      </c>
      <c r="B31" s="7">
        <v>45762</v>
      </c>
      <c r="C31" s="10">
        <v>16</v>
      </c>
      <c r="D31" s="10" t="s">
        <v>38</v>
      </c>
      <c r="E31" s="10">
        <v>19</v>
      </c>
      <c r="F31" s="10">
        <v>3</v>
      </c>
      <c r="G31" s="9">
        <v>57</v>
      </c>
      <c r="I31" s="8" t="s">
        <v>35</v>
      </c>
      <c r="J31" s="8">
        <v>10</v>
      </c>
      <c r="K31" s="10">
        <v>10</v>
      </c>
    </row>
    <row r="32" spans="1:15" x14ac:dyDescent="0.35">
      <c r="A32" s="10" t="s">
        <v>148</v>
      </c>
      <c r="B32" s="7">
        <v>45767</v>
      </c>
      <c r="C32" s="10">
        <v>17</v>
      </c>
      <c r="D32" s="10" t="s">
        <v>5</v>
      </c>
      <c r="E32" s="10">
        <v>14</v>
      </c>
      <c r="F32" s="10">
        <v>5.75</v>
      </c>
      <c r="G32" s="9">
        <v>80.5</v>
      </c>
      <c r="I32" s="8" t="s">
        <v>35</v>
      </c>
      <c r="J32" s="8">
        <v>14</v>
      </c>
      <c r="K32" s="10">
        <v>11</v>
      </c>
    </row>
    <row r="33" spans="1:11" x14ac:dyDescent="0.35">
      <c r="A33" s="10" t="s">
        <v>149</v>
      </c>
      <c r="B33" s="7">
        <v>45780</v>
      </c>
      <c r="C33" s="10">
        <v>18</v>
      </c>
      <c r="D33" s="10" t="s">
        <v>46</v>
      </c>
      <c r="E33" s="10">
        <v>7</v>
      </c>
      <c r="F33" s="10">
        <v>14.95</v>
      </c>
      <c r="G33" s="9">
        <v>104.65</v>
      </c>
      <c r="I33" s="8" t="s">
        <v>35</v>
      </c>
      <c r="J33" s="8">
        <v>23</v>
      </c>
      <c r="K33" s="10">
        <v>12</v>
      </c>
    </row>
    <row r="34" spans="1:11" x14ac:dyDescent="0.35">
      <c r="A34" s="10" t="s">
        <v>150</v>
      </c>
      <c r="B34" s="7">
        <v>45784</v>
      </c>
      <c r="C34" s="10">
        <v>19</v>
      </c>
      <c r="D34" s="10" t="s">
        <v>20</v>
      </c>
      <c r="E34" s="10">
        <v>28</v>
      </c>
      <c r="F34" s="10">
        <v>2</v>
      </c>
      <c r="G34" s="9">
        <v>56</v>
      </c>
      <c r="I34" s="8" t="s">
        <v>35</v>
      </c>
      <c r="J34" s="8">
        <v>28</v>
      </c>
      <c r="K34" s="10">
        <v>13</v>
      </c>
    </row>
    <row r="35" spans="1:11" x14ac:dyDescent="0.35">
      <c r="A35" s="10" t="s">
        <v>151</v>
      </c>
      <c r="B35" s="7">
        <v>45787</v>
      </c>
      <c r="C35" s="10">
        <v>19</v>
      </c>
      <c r="D35" s="10" t="s">
        <v>53</v>
      </c>
      <c r="E35" s="10">
        <v>10</v>
      </c>
      <c r="F35" s="10">
        <v>4.5</v>
      </c>
      <c r="G35" s="9">
        <v>45</v>
      </c>
      <c r="I35" s="8" t="s">
        <v>35</v>
      </c>
      <c r="J35" s="8">
        <v>33</v>
      </c>
      <c r="K35" s="10">
        <v>15</v>
      </c>
    </row>
    <row r="36" spans="1:11" x14ac:dyDescent="0.35">
      <c r="A36" s="10" t="s">
        <v>152</v>
      </c>
      <c r="B36" s="7">
        <v>45791</v>
      </c>
      <c r="C36" s="10">
        <v>20</v>
      </c>
      <c r="D36" s="10" t="s">
        <v>48</v>
      </c>
      <c r="E36" s="10">
        <v>13</v>
      </c>
      <c r="F36" s="10">
        <v>4.75</v>
      </c>
      <c r="G36" s="9">
        <v>61.75</v>
      </c>
      <c r="I36" s="8" t="s">
        <v>35</v>
      </c>
      <c r="J36" s="8">
        <v>37</v>
      </c>
      <c r="K36" s="10">
        <v>12</v>
      </c>
    </row>
    <row r="37" spans="1:11" x14ac:dyDescent="0.35">
      <c r="A37" s="10" t="s">
        <v>153</v>
      </c>
      <c r="B37" s="7">
        <v>45795</v>
      </c>
      <c r="C37" s="10">
        <v>21</v>
      </c>
      <c r="D37" s="10" t="s">
        <v>83</v>
      </c>
      <c r="E37" s="10">
        <v>8</v>
      </c>
      <c r="F37" s="10">
        <v>11.5</v>
      </c>
      <c r="G37" s="9">
        <v>92</v>
      </c>
      <c r="I37" s="8" t="s">
        <v>35</v>
      </c>
      <c r="J37" s="8">
        <v>41</v>
      </c>
      <c r="K37" s="10">
        <v>14</v>
      </c>
    </row>
    <row r="38" spans="1:11" x14ac:dyDescent="0.35">
      <c r="A38" s="10" t="s">
        <v>154</v>
      </c>
      <c r="B38" s="7">
        <v>45811</v>
      </c>
      <c r="C38" s="10">
        <v>23</v>
      </c>
      <c r="D38" s="10" t="s">
        <v>35</v>
      </c>
      <c r="E38" s="10">
        <v>12</v>
      </c>
      <c r="F38" s="10">
        <v>9.5</v>
      </c>
      <c r="G38" s="9">
        <v>114</v>
      </c>
      <c r="I38" s="8" t="s">
        <v>35</v>
      </c>
      <c r="J38" s="8">
        <v>46</v>
      </c>
      <c r="K38" s="10">
        <v>13</v>
      </c>
    </row>
    <row r="39" spans="1:11" x14ac:dyDescent="0.35">
      <c r="A39" s="10" t="s">
        <v>155</v>
      </c>
      <c r="B39" s="7">
        <v>45816</v>
      </c>
      <c r="C39" s="10">
        <v>24</v>
      </c>
      <c r="D39" s="10" t="s">
        <v>38</v>
      </c>
      <c r="E39" s="10">
        <v>25</v>
      </c>
      <c r="F39" s="10">
        <v>3</v>
      </c>
      <c r="G39" s="9">
        <v>75</v>
      </c>
      <c r="I39" s="8" t="s">
        <v>35</v>
      </c>
      <c r="J39" s="8">
        <v>50</v>
      </c>
      <c r="K39" s="10">
        <v>16</v>
      </c>
    </row>
    <row r="40" spans="1:11" x14ac:dyDescent="0.35">
      <c r="A40" s="10" t="s">
        <v>156</v>
      </c>
      <c r="B40" s="7">
        <v>45819</v>
      </c>
      <c r="C40" s="10">
        <v>24</v>
      </c>
      <c r="D40" s="10" t="s">
        <v>66</v>
      </c>
      <c r="E40" s="10">
        <v>18</v>
      </c>
      <c r="F40" s="10">
        <v>4.95</v>
      </c>
      <c r="G40" s="9">
        <v>89.1</v>
      </c>
      <c r="I40" s="8" t="s">
        <v>35</v>
      </c>
      <c r="J40" s="8">
        <v>52</v>
      </c>
      <c r="K40" s="10">
        <v>18</v>
      </c>
    </row>
    <row r="41" spans="1:11" x14ac:dyDescent="0.35">
      <c r="A41" s="10" t="s">
        <v>157</v>
      </c>
      <c r="B41" s="7">
        <v>45823</v>
      </c>
      <c r="C41" s="10">
        <v>25</v>
      </c>
      <c r="D41" s="10" t="s">
        <v>78</v>
      </c>
      <c r="E41" s="10">
        <v>11</v>
      </c>
      <c r="F41" s="10">
        <v>15.95</v>
      </c>
      <c r="G41" s="9">
        <v>175.45</v>
      </c>
      <c r="I41" s="8" t="s">
        <v>38</v>
      </c>
      <c r="J41" s="8">
        <v>2</v>
      </c>
      <c r="K41" s="10">
        <v>18</v>
      </c>
    </row>
    <row r="42" spans="1:11" x14ac:dyDescent="0.35">
      <c r="A42" s="10" t="s">
        <v>158</v>
      </c>
      <c r="B42" s="7">
        <v>45828</v>
      </c>
      <c r="C42" s="10">
        <v>25</v>
      </c>
      <c r="D42" s="10" t="s">
        <v>20</v>
      </c>
      <c r="E42" s="10">
        <v>35</v>
      </c>
      <c r="F42" s="10">
        <v>2</v>
      </c>
      <c r="G42" s="9">
        <v>70</v>
      </c>
      <c r="I42" s="8" t="s">
        <v>38</v>
      </c>
      <c r="J42" s="8">
        <v>6</v>
      </c>
      <c r="K42" s="10">
        <v>20</v>
      </c>
    </row>
    <row r="43" spans="1:11" x14ac:dyDescent="0.35">
      <c r="A43" s="10" t="s">
        <v>159</v>
      </c>
      <c r="B43" s="7">
        <v>45833</v>
      </c>
      <c r="C43" s="10">
        <v>26</v>
      </c>
      <c r="D43" s="10" t="s">
        <v>63</v>
      </c>
      <c r="E43" s="10">
        <v>14</v>
      </c>
      <c r="F43" s="10">
        <v>7.95</v>
      </c>
      <c r="G43" s="9">
        <v>111.3</v>
      </c>
      <c r="I43" s="8" t="s">
        <v>38</v>
      </c>
      <c r="J43" s="8">
        <v>12</v>
      </c>
      <c r="K43" s="10">
        <v>21</v>
      </c>
    </row>
    <row r="44" spans="1:11" x14ac:dyDescent="0.35">
      <c r="A44" s="10" t="s">
        <v>160</v>
      </c>
      <c r="B44" s="7">
        <v>45840</v>
      </c>
      <c r="C44" s="10">
        <v>27</v>
      </c>
      <c r="D44" s="10" t="s">
        <v>66</v>
      </c>
      <c r="E44" s="10">
        <v>20</v>
      </c>
      <c r="F44" s="10">
        <v>4.95</v>
      </c>
      <c r="G44" s="9">
        <v>99</v>
      </c>
      <c r="I44" s="8" t="s">
        <v>38</v>
      </c>
      <c r="J44" s="8">
        <v>16</v>
      </c>
      <c r="K44" s="10">
        <v>19</v>
      </c>
    </row>
    <row r="45" spans="1:11" x14ac:dyDescent="0.35">
      <c r="A45" s="10" t="s">
        <v>161</v>
      </c>
      <c r="B45" s="7">
        <v>45843</v>
      </c>
      <c r="C45" s="10">
        <v>27</v>
      </c>
      <c r="D45" s="10" t="s">
        <v>38</v>
      </c>
      <c r="E45" s="10">
        <v>28</v>
      </c>
      <c r="F45" s="10">
        <v>3</v>
      </c>
      <c r="G45" s="9">
        <v>84</v>
      </c>
      <c r="I45" s="8" t="s">
        <v>38</v>
      </c>
      <c r="J45" s="8">
        <v>24</v>
      </c>
      <c r="K45" s="10">
        <v>25</v>
      </c>
    </row>
    <row r="46" spans="1:11" x14ac:dyDescent="0.35">
      <c r="A46" s="10" t="s">
        <v>162</v>
      </c>
      <c r="B46" s="7">
        <v>45845</v>
      </c>
      <c r="C46" s="10">
        <v>28</v>
      </c>
      <c r="D46" s="10" t="s">
        <v>35</v>
      </c>
      <c r="E46" s="10">
        <v>13</v>
      </c>
      <c r="F46" s="10">
        <v>9.5</v>
      </c>
      <c r="G46" s="9">
        <v>123.5</v>
      </c>
      <c r="I46" s="8" t="s">
        <v>38</v>
      </c>
      <c r="J46" s="8">
        <v>27</v>
      </c>
      <c r="K46" s="10">
        <v>28</v>
      </c>
    </row>
    <row r="47" spans="1:11" x14ac:dyDescent="0.35">
      <c r="A47" s="10" t="s">
        <v>163</v>
      </c>
      <c r="B47" s="7">
        <v>45848</v>
      </c>
      <c r="C47" s="10">
        <v>28</v>
      </c>
      <c r="D47" s="10" t="s">
        <v>5</v>
      </c>
      <c r="E47" s="10">
        <v>15</v>
      </c>
      <c r="F47" s="10">
        <v>5.75</v>
      </c>
      <c r="G47" s="9">
        <v>86.25</v>
      </c>
      <c r="I47" s="8" t="s">
        <v>38</v>
      </c>
      <c r="J47" s="8">
        <v>32</v>
      </c>
      <c r="K47" s="10">
        <v>30</v>
      </c>
    </row>
    <row r="48" spans="1:11" x14ac:dyDescent="0.35">
      <c r="A48" s="10" t="s">
        <v>164</v>
      </c>
      <c r="B48" s="7">
        <v>45852</v>
      </c>
      <c r="C48" s="10">
        <v>29</v>
      </c>
      <c r="D48" s="10" t="s">
        <v>48</v>
      </c>
      <c r="E48" s="10">
        <v>14</v>
      </c>
      <c r="F48" s="10">
        <v>4.75</v>
      </c>
      <c r="G48" s="9">
        <v>66.5</v>
      </c>
      <c r="I48" s="8" t="s">
        <v>38</v>
      </c>
      <c r="J48" s="8">
        <v>36</v>
      </c>
      <c r="K48" s="10">
        <v>26</v>
      </c>
    </row>
    <row r="49" spans="1:11" x14ac:dyDescent="0.35">
      <c r="A49" s="10" t="s">
        <v>165</v>
      </c>
      <c r="B49" s="7">
        <v>45856</v>
      </c>
      <c r="C49" s="10">
        <v>29</v>
      </c>
      <c r="D49" s="10" t="s">
        <v>78</v>
      </c>
      <c r="E49" s="10">
        <v>12</v>
      </c>
      <c r="F49" s="10">
        <v>15.95</v>
      </c>
      <c r="G49" s="9">
        <v>191.4</v>
      </c>
      <c r="I49" s="8" t="s">
        <v>38</v>
      </c>
      <c r="J49" s="8">
        <v>41</v>
      </c>
      <c r="K49" s="10">
        <v>24</v>
      </c>
    </row>
    <row r="50" spans="1:11" x14ac:dyDescent="0.35">
      <c r="A50" s="10" t="s">
        <v>166</v>
      </c>
      <c r="B50" s="7">
        <v>45860</v>
      </c>
      <c r="C50" s="10">
        <v>30</v>
      </c>
      <c r="D50" s="10" t="s">
        <v>20</v>
      </c>
      <c r="E50" s="10">
        <v>38</v>
      </c>
      <c r="F50" s="10">
        <v>2</v>
      </c>
      <c r="G50" s="9">
        <v>76</v>
      </c>
      <c r="I50" s="8" t="s">
        <v>38</v>
      </c>
      <c r="J50" s="8">
        <v>45</v>
      </c>
      <c r="K50" s="10">
        <v>23</v>
      </c>
    </row>
    <row r="51" spans="1:11" x14ac:dyDescent="0.35">
      <c r="A51" s="10" t="s">
        <v>167</v>
      </c>
      <c r="B51" s="7">
        <v>45866</v>
      </c>
      <c r="C51" s="10">
        <v>31</v>
      </c>
      <c r="D51" s="10" t="s">
        <v>46</v>
      </c>
      <c r="E51" s="10">
        <v>9</v>
      </c>
      <c r="F51" s="10">
        <v>14.95</v>
      </c>
      <c r="G51" s="9">
        <v>134.55000000000001</v>
      </c>
      <c r="I51" s="8" t="s">
        <v>38</v>
      </c>
      <c r="J51" s="8">
        <v>49</v>
      </c>
      <c r="K51" s="10">
        <v>28</v>
      </c>
    </row>
    <row r="52" spans="1:11" x14ac:dyDescent="0.35">
      <c r="A52" s="10" t="s">
        <v>168</v>
      </c>
      <c r="B52" s="7">
        <v>45871</v>
      </c>
      <c r="C52" s="10">
        <v>31</v>
      </c>
      <c r="D52" s="10" t="s">
        <v>66</v>
      </c>
      <c r="E52" s="10">
        <v>22</v>
      </c>
      <c r="F52" s="10">
        <v>4.95</v>
      </c>
      <c r="G52" s="9">
        <v>108.9</v>
      </c>
      <c r="I52" s="8" t="s">
        <v>38</v>
      </c>
      <c r="J52" s="8">
        <v>52</v>
      </c>
      <c r="K52" s="10">
        <v>30</v>
      </c>
    </row>
    <row r="53" spans="1:11" x14ac:dyDescent="0.35">
      <c r="A53" s="10" t="s">
        <v>169</v>
      </c>
      <c r="B53" s="7">
        <v>45875</v>
      </c>
      <c r="C53" s="10">
        <v>32</v>
      </c>
      <c r="D53" s="10" t="s">
        <v>38</v>
      </c>
      <c r="E53" s="10">
        <v>30</v>
      </c>
      <c r="F53" s="10">
        <v>3</v>
      </c>
      <c r="G53" s="9">
        <v>90</v>
      </c>
      <c r="I53" s="8" t="s">
        <v>40</v>
      </c>
      <c r="J53" s="8">
        <v>7</v>
      </c>
      <c r="K53" s="10">
        <v>15</v>
      </c>
    </row>
    <row r="54" spans="1:11" x14ac:dyDescent="0.35">
      <c r="A54" s="10" t="s">
        <v>170</v>
      </c>
      <c r="B54" s="7">
        <v>45879</v>
      </c>
      <c r="C54" s="10">
        <v>33</v>
      </c>
      <c r="D54" s="10" t="s">
        <v>35</v>
      </c>
      <c r="E54" s="10">
        <v>15</v>
      </c>
      <c r="F54" s="10">
        <v>9.5</v>
      </c>
      <c r="G54" s="9">
        <v>142.5</v>
      </c>
      <c r="I54" s="8" t="s">
        <v>46</v>
      </c>
      <c r="J54" s="8">
        <v>2</v>
      </c>
      <c r="K54" s="10">
        <v>6</v>
      </c>
    </row>
    <row r="55" spans="1:11" x14ac:dyDescent="0.35">
      <c r="A55" s="10" t="s">
        <v>171</v>
      </c>
      <c r="B55" s="7">
        <v>45881</v>
      </c>
      <c r="C55" s="10">
        <v>33</v>
      </c>
      <c r="D55" s="10" t="s">
        <v>63</v>
      </c>
      <c r="E55" s="10">
        <v>16</v>
      </c>
      <c r="F55" s="10">
        <v>7.95</v>
      </c>
      <c r="G55" s="9">
        <v>127.2</v>
      </c>
      <c r="I55" s="8" t="s">
        <v>46</v>
      </c>
      <c r="J55" s="8">
        <v>10</v>
      </c>
      <c r="K55" s="10">
        <v>8</v>
      </c>
    </row>
    <row r="56" spans="1:11" x14ac:dyDescent="0.35">
      <c r="A56" s="10" t="s">
        <v>172</v>
      </c>
      <c r="B56" s="7">
        <v>45885</v>
      </c>
      <c r="C56" s="10">
        <v>33</v>
      </c>
      <c r="D56" s="10" t="s">
        <v>5</v>
      </c>
      <c r="E56" s="10">
        <v>17</v>
      </c>
      <c r="F56" s="10">
        <v>5.75</v>
      </c>
      <c r="G56" s="9">
        <v>97.75</v>
      </c>
      <c r="I56" s="8" t="s">
        <v>46</v>
      </c>
      <c r="J56" s="8">
        <v>18</v>
      </c>
      <c r="K56" s="10">
        <v>7</v>
      </c>
    </row>
    <row r="57" spans="1:11" x14ac:dyDescent="0.35">
      <c r="A57" s="10" t="s">
        <v>173</v>
      </c>
      <c r="B57" s="7">
        <v>45888</v>
      </c>
      <c r="C57" s="10">
        <v>34</v>
      </c>
      <c r="D57" s="10" t="s">
        <v>78</v>
      </c>
      <c r="E57" s="10">
        <v>13</v>
      </c>
      <c r="F57" s="10">
        <v>15.95</v>
      </c>
      <c r="G57" s="9">
        <v>207.35</v>
      </c>
      <c r="I57" s="8" t="s">
        <v>46</v>
      </c>
      <c r="J57" s="8">
        <v>31</v>
      </c>
      <c r="K57" s="10">
        <v>9</v>
      </c>
    </row>
    <row r="58" spans="1:11" x14ac:dyDescent="0.35">
      <c r="A58" s="10" t="s">
        <v>174</v>
      </c>
      <c r="B58" s="7">
        <v>45892</v>
      </c>
      <c r="C58" s="10">
        <v>34</v>
      </c>
      <c r="D58" s="10" t="s">
        <v>20</v>
      </c>
      <c r="E58" s="10">
        <v>40</v>
      </c>
      <c r="F58" s="10">
        <v>2</v>
      </c>
      <c r="G58" s="9">
        <v>80</v>
      </c>
      <c r="I58" s="8" t="s">
        <v>46</v>
      </c>
      <c r="J58" s="8">
        <v>38</v>
      </c>
      <c r="K58" s="10">
        <v>10</v>
      </c>
    </row>
    <row r="59" spans="1:11" x14ac:dyDescent="0.35">
      <c r="A59" s="10" t="s">
        <v>175</v>
      </c>
      <c r="B59" s="7">
        <v>45896</v>
      </c>
      <c r="C59" s="10">
        <v>35</v>
      </c>
      <c r="D59" s="10" t="s">
        <v>48</v>
      </c>
      <c r="E59" s="10">
        <v>16</v>
      </c>
      <c r="F59" s="10">
        <v>4.75</v>
      </c>
      <c r="G59" s="9">
        <v>76</v>
      </c>
      <c r="I59" s="8" t="s">
        <v>46</v>
      </c>
      <c r="J59" s="8">
        <v>46</v>
      </c>
      <c r="K59" s="10">
        <v>11</v>
      </c>
    </row>
    <row r="60" spans="1:11" x14ac:dyDescent="0.35">
      <c r="A60" s="10" t="s">
        <v>176</v>
      </c>
      <c r="B60" s="7">
        <v>45902</v>
      </c>
      <c r="C60" s="10">
        <v>36</v>
      </c>
      <c r="D60" s="10" t="s">
        <v>66</v>
      </c>
      <c r="E60" s="10">
        <v>19</v>
      </c>
      <c r="F60" s="10">
        <v>4.95</v>
      </c>
      <c r="G60" s="9">
        <v>94.05</v>
      </c>
      <c r="I60" s="8" t="s">
        <v>46</v>
      </c>
      <c r="J60" s="8">
        <v>51</v>
      </c>
      <c r="K60" s="10">
        <v>12</v>
      </c>
    </row>
    <row r="61" spans="1:11" x14ac:dyDescent="0.35">
      <c r="A61" s="10" t="s">
        <v>177</v>
      </c>
      <c r="B61" s="7">
        <v>45906</v>
      </c>
      <c r="C61" s="10">
        <v>36</v>
      </c>
      <c r="D61" s="10" t="s">
        <v>38</v>
      </c>
      <c r="E61" s="10">
        <v>26</v>
      </c>
      <c r="F61" s="10">
        <v>3</v>
      </c>
      <c r="G61" s="9">
        <v>78</v>
      </c>
      <c r="I61" s="8" t="s">
        <v>46</v>
      </c>
      <c r="J61" s="8">
        <v>53</v>
      </c>
      <c r="K61" s="10">
        <v>13</v>
      </c>
    </row>
    <row r="62" spans="1:11" x14ac:dyDescent="0.35">
      <c r="A62" s="10" t="s">
        <v>178</v>
      </c>
      <c r="B62" s="7">
        <v>45910</v>
      </c>
      <c r="C62" s="10">
        <v>37</v>
      </c>
      <c r="D62" s="10" t="s">
        <v>35</v>
      </c>
      <c r="E62" s="10">
        <v>12</v>
      </c>
      <c r="F62" s="10">
        <v>9.5</v>
      </c>
      <c r="G62" s="9">
        <v>114</v>
      </c>
      <c r="I62" s="8" t="s">
        <v>48</v>
      </c>
      <c r="J62" s="8">
        <v>4</v>
      </c>
      <c r="K62" s="10">
        <v>11</v>
      </c>
    </row>
    <row r="63" spans="1:11" x14ac:dyDescent="0.35">
      <c r="A63" s="10" t="s">
        <v>179</v>
      </c>
      <c r="B63" s="7">
        <v>45914</v>
      </c>
      <c r="C63" s="10">
        <v>38</v>
      </c>
      <c r="D63" s="10" t="s">
        <v>46</v>
      </c>
      <c r="E63" s="10">
        <v>10</v>
      </c>
      <c r="F63" s="10">
        <v>14.95</v>
      </c>
      <c r="G63" s="9">
        <v>149.5</v>
      </c>
      <c r="I63" s="8" t="s">
        <v>48</v>
      </c>
      <c r="J63" s="8">
        <v>20</v>
      </c>
      <c r="K63" s="10">
        <v>13</v>
      </c>
    </row>
    <row r="64" spans="1:11" x14ac:dyDescent="0.35">
      <c r="A64" s="10" t="s">
        <v>180</v>
      </c>
      <c r="B64" s="7">
        <v>45918</v>
      </c>
      <c r="C64" s="10">
        <v>38</v>
      </c>
      <c r="D64" s="10" t="s">
        <v>63</v>
      </c>
      <c r="E64" s="10">
        <v>15</v>
      </c>
      <c r="F64" s="10">
        <v>7.95</v>
      </c>
      <c r="G64" s="9">
        <v>119.25</v>
      </c>
      <c r="I64" s="8" t="s">
        <v>48</v>
      </c>
      <c r="J64" s="8">
        <v>29</v>
      </c>
      <c r="K64" s="10">
        <v>14</v>
      </c>
    </row>
    <row r="65" spans="1:11" x14ac:dyDescent="0.35">
      <c r="A65" s="10" t="s">
        <v>181</v>
      </c>
      <c r="B65" s="7">
        <v>45921</v>
      </c>
      <c r="C65" s="10">
        <v>39</v>
      </c>
      <c r="D65" s="10" t="s">
        <v>5</v>
      </c>
      <c r="E65" s="10">
        <v>14</v>
      </c>
      <c r="F65" s="10">
        <v>5.75</v>
      </c>
      <c r="G65" s="9">
        <v>80.5</v>
      </c>
      <c r="I65" s="8" t="s">
        <v>48</v>
      </c>
      <c r="J65" s="8">
        <v>35</v>
      </c>
      <c r="K65" s="10">
        <v>16</v>
      </c>
    </row>
    <row r="66" spans="1:11" x14ac:dyDescent="0.35">
      <c r="A66" s="10" t="s">
        <v>182</v>
      </c>
      <c r="B66" s="7">
        <v>45925</v>
      </c>
      <c r="C66" s="10">
        <v>39</v>
      </c>
      <c r="D66" s="10" t="s">
        <v>20</v>
      </c>
      <c r="E66" s="10">
        <v>34</v>
      </c>
      <c r="F66" s="10">
        <v>2</v>
      </c>
      <c r="G66" s="9">
        <v>68</v>
      </c>
      <c r="I66" s="8" t="s">
        <v>48</v>
      </c>
      <c r="J66" s="8">
        <v>40</v>
      </c>
      <c r="K66" s="10">
        <v>12</v>
      </c>
    </row>
    <row r="67" spans="1:11" x14ac:dyDescent="0.35">
      <c r="A67" s="10" t="s">
        <v>183</v>
      </c>
      <c r="B67" s="7">
        <v>45929</v>
      </c>
      <c r="C67" s="10">
        <v>40</v>
      </c>
      <c r="D67" s="10" t="s">
        <v>48</v>
      </c>
      <c r="E67" s="10">
        <v>12</v>
      </c>
      <c r="F67" s="10">
        <v>4.75</v>
      </c>
      <c r="G67" s="9">
        <v>57</v>
      </c>
      <c r="I67" s="8" t="s">
        <v>48</v>
      </c>
      <c r="J67" s="8">
        <v>44</v>
      </c>
      <c r="K67" s="10">
        <v>11</v>
      </c>
    </row>
    <row r="68" spans="1:11" x14ac:dyDescent="0.35">
      <c r="A68" s="10" t="s">
        <v>184</v>
      </c>
      <c r="B68" s="7">
        <v>45933</v>
      </c>
      <c r="C68" s="10">
        <v>40</v>
      </c>
      <c r="D68" s="10" t="s">
        <v>66</v>
      </c>
      <c r="E68" s="10">
        <v>18</v>
      </c>
      <c r="F68" s="10">
        <v>4.95</v>
      </c>
      <c r="G68" s="9">
        <v>89.1</v>
      </c>
      <c r="I68" s="8" t="s">
        <v>48</v>
      </c>
      <c r="J68" s="8">
        <v>50</v>
      </c>
      <c r="K68" s="10">
        <v>15</v>
      </c>
    </row>
    <row r="69" spans="1:11" x14ac:dyDescent="0.35">
      <c r="A69" s="10" t="s">
        <v>185</v>
      </c>
      <c r="B69" s="7">
        <v>45937</v>
      </c>
      <c r="C69" s="10">
        <v>41</v>
      </c>
      <c r="D69" s="10" t="s">
        <v>38</v>
      </c>
      <c r="E69" s="10">
        <v>24</v>
      </c>
      <c r="F69" s="10">
        <v>3</v>
      </c>
      <c r="G69" s="9">
        <v>72</v>
      </c>
      <c r="I69" s="8" t="s">
        <v>48</v>
      </c>
      <c r="J69" s="8">
        <v>53</v>
      </c>
      <c r="K69" s="10">
        <v>17</v>
      </c>
    </row>
    <row r="70" spans="1:11" x14ac:dyDescent="0.35">
      <c r="A70" s="10" t="s">
        <v>186</v>
      </c>
      <c r="B70" s="7">
        <v>45940</v>
      </c>
      <c r="C70" s="10">
        <v>41</v>
      </c>
      <c r="D70" s="10" t="s">
        <v>35</v>
      </c>
      <c r="E70" s="10">
        <v>14</v>
      </c>
      <c r="F70" s="10">
        <v>9.5</v>
      </c>
      <c r="G70" s="9">
        <v>133</v>
      </c>
      <c r="I70" s="8" t="s">
        <v>53</v>
      </c>
      <c r="J70" s="8">
        <v>7</v>
      </c>
      <c r="K70" s="10">
        <v>8</v>
      </c>
    </row>
    <row r="71" spans="1:11" x14ac:dyDescent="0.35">
      <c r="A71" s="10" t="s">
        <v>187</v>
      </c>
      <c r="B71" s="7">
        <v>45944</v>
      </c>
      <c r="C71" s="10">
        <v>42</v>
      </c>
      <c r="D71" s="10" t="s">
        <v>78</v>
      </c>
      <c r="E71" s="10">
        <v>11</v>
      </c>
      <c r="F71" s="10">
        <v>15.95</v>
      </c>
      <c r="G71" s="9">
        <v>175.45</v>
      </c>
      <c r="I71" s="8" t="s">
        <v>53</v>
      </c>
      <c r="J71" s="8">
        <v>19</v>
      </c>
      <c r="K71" s="10">
        <v>10</v>
      </c>
    </row>
    <row r="72" spans="1:11" x14ac:dyDescent="0.35">
      <c r="A72" s="10" t="s">
        <v>188</v>
      </c>
      <c r="B72" s="7">
        <v>45948</v>
      </c>
      <c r="C72" s="10">
        <v>42</v>
      </c>
      <c r="D72" s="10" t="s">
        <v>63</v>
      </c>
      <c r="E72" s="10">
        <v>13</v>
      </c>
      <c r="F72" s="10">
        <v>7.95</v>
      </c>
      <c r="G72" s="9">
        <v>103.35</v>
      </c>
      <c r="I72" s="8" t="s">
        <v>63</v>
      </c>
      <c r="J72" s="8">
        <v>4</v>
      </c>
      <c r="K72" s="10">
        <v>15</v>
      </c>
    </row>
    <row r="73" spans="1:11" x14ac:dyDescent="0.35">
      <c r="A73" s="10" t="s">
        <v>189</v>
      </c>
      <c r="B73" s="7">
        <v>45951</v>
      </c>
      <c r="C73" s="10">
        <v>43</v>
      </c>
      <c r="D73" s="10" t="s">
        <v>5</v>
      </c>
      <c r="E73" s="10">
        <v>12</v>
      </c>
      <c r="F73" s="10">
        <v>5.75</v>
      </c>
      <c r="G73" s="9">
        <v>69</v>
      </c>
      <c r="I73" s="8" t="s">
        <v>63</v>
      </c>
      <c r="J73" s="8">
        <v>14</v>
      </c>
      <c r="K73" s="10">
        <v>12</v>
      </c>
    </row>
    <row r="74" spans="1:11" x14ac:dyDescent="0.35">
      <c r="A74" s="10" t="s">
        <v>190</v>
      </c>
      <c r="B74" s="7">
        <v>45955</v>
      </c>
      <c r="C74" s="10">
        <v>43</v>
      </c>
      <c r="D74" s="10" t="s">
        <v>20</v>
      </c>
      <c r="E74" s="10">
        <v>32</v>
      </c>
      <c r="F74" s="10">
        <v>2</v>
      </c>
      <c r="G74" s="9">
        <v>64</v>
      </c>
      <c r="I74" s="8" t="s">
        <v>63</v>
      </c>
      <c r="J74" s="8">
        <v>26</v>
      </c>
      <c r="K74" s="10">
        <v>14</v>
      </c>
    </row>
    <row r="75" spans="1:11" x14ac:dyDescent="0.35">
      <c r="A75" s="10" t="s">
        <v>191</v>
      </c>
      <c r="B75" s="7">
        <v>45959</v>
      </c>
      <c r="C75" s="10">
        <v>44</v>
      </c>
      <c r="D75" s="10" t="s">
        <v>48</v>
      </c>
      <c r="E75" s="10">
        <v>11</v>
      </c>
      <c r="F75" s="10">
        <v>4.75</v>
      </c>
      <c r="G75" s="9">
        <v>52.25</v>
      </c>
      <c r="I75" s="8" t="s">
        <v>63</v>
      </c>
      <c r="J75" s="8">
        <v>33</v>
      </c>
      <c r="K75" s="10">
        <v>16</v>
      </c>
    </row>
    <row r="76" spans="1:11" x14ac:dyDescent="0.35">
      <c r="A76" s="10" t="s">
        <v>192</v>
      </c>
      <c r="B76" s="7">
        <v>45963</v>
      </c>
      <c r="C76" s="10">
        <v>45</v>
      </c>
      <c r="D76" s="10" t="s">
        <v>66</v>
      </c>
      <c r="E76" s="10">
        <v>21</v>
      </c>
      <c r="F76" s="10">
        <v>4.95</v>
      </c>
      <c r="G76" s="9">
        <v>103.95</v>
      </c>
      <c r="I76" s="8" t="s">
        <v>63</v>
      </c>
      <c r="J76" s="8">
        <v>38</v>
      </c>
      <c r="K76" s="10">
        <v>15</v>
      </c>
    </row>
    <row r="77" spans="1:11" x14ac:dyDescent="0.35">
      <c r="A77" s="10" t="s">
        <v>193</v>
      </c>
      <c r="B77" s="7">
        <v>45967</v>
      </c>
      <c r="C77" s="10">
        <v>45</v>
      </c>
      <c r="D77" s="10" t="s">
        <v>38</v>
      </c>
      <c r="E77" s="10">
        <v>23</v>
      </c>
      <c r="F77" s="10">
        <v>3</v>
      </c>
      <c r="G77" s="9">
        <v>69</v>
      </c>
      <c r="I77" s="8" t="s">
        <v>63</v>
      </c>
      <c r="J77" s="8">
        <v>42</v>
      </c>
      <c r="K77" s="10">
        <v>13</v>
      </c>
    </row>
    <row r="78" spans="1:11" x14ac:dyDescent="0.35">
      <c r="A78" s="10" t="s">
        <v>194</v>
      </c>
      <c r="B78" s="7">
        <v>45970</v>
      </c>
      <c r="C78" s="10">
        <v>46</v>
      </c>
      <c r="D78" s="10" t="s">
        <v>35</v>
      </c>
      <c r="E78" s="10">
        <v>13</v>
      </c>
      <c r="F78" s="10">
        <v>9.5</v>
      </c>
      <c r="G78" s="9">
        <v>123.5</v>
      </c>
      <c r="I78" s="8" t="s">
        <v>63</v>
      </c>
      <c r="J78" s="8">
        <v>47</v>
      </c>
      <c r="K78" s="10">
        <v>14</v>
      </c>
    </row>
    <row r="79" spans="1:11" x14ac:dyDescent="0.35">
      <c r="A79" s="10" t="s">
        <v>195</v>
      </c>
      <c r="B79" s="7">
        <v>45974</v>
      </c>
      <c r="C79" s="10">
        <v>46</v>
      </c>
      <c r="D79" s="10" t="s">
        <v>46</v>
      </c>
      <c r="E79" s="10">
        <v>11</v>
      </c>
      <c r="F79" s="10">
        <v>14.95</v>
      </c>
      <c r="G79" s="9">
        <v>164.45</v>
      </c>
      <c r="I79" s="8" t="s">
        <v>63</v>
      </c>
      <c r="J79" s="8">
        <v>51</v>
      </c>
      <c r="K79" s="10">
        <v>18</v>
      </c>
    </row>
    <row r="80" spans="1:11" x14ac:dyDescent="0.35">
      <c r="A80" s="10" t="s">
        <v>196</v>
      </c>
      <c r="B80" s="7">
        <v>45978</v>
      </c>
      <c r="C80" s="10">
        <v>47</v>
      </c>
      <c r="D80" s="10" t="s">
        <v>78</v>
      </c>
      <c r="E80" s="10">
        <v>12</v>
      </c>
      <c r="F80" s="10">
        <v>15.95</v>
      </c>
      <c r="G80" s="9">
        <v>191.4</v>
      </c>
      <c r="I80" s="8" t="s">
        <v>63</v>
      </c>
      <c r="J80" s="8">
        <v>53</v>
      </c>
      <c r="K80" s="10">
        <v>20</v>
      </c>
    </row>
    <row r="81" spans="1:11" x14ac:dyDescent="0.35">
      <c r="A81" s="10" t="s">
        <v>197</v>
      </c>
      <c r="B81" s="7">
        <v>45982</v>
      </c>
      <c r="C81" s="10">
        <v>47</v>
      </c>
      <c r="D81" s="10" t="s">
        <v>63</v>
      </c>
      <c r="E81" s="10">
        <v>14</v>
      </c>
      <c r="F81" s="10">
        <v>7.95</v>
      </c>
      <c r="G81" s="9">
        <v>111.3</v>
      </c>
      <c r="I81" s="8" t="s">
        <v>66</v>
      </c>
      <c r="J81" s="8">
        <v>1</v>
      </c>
      <c r="K81" s="10">
        <v>12</v>
      </c>
    </row>
    <row r="82" spans="1:11" x14ac:dyDescent="0.35">
      <c r="A82" s="10" t="s">
        <v>198</v>
      </c>
      <c r="B82" s="7">
        <v>45986</v>
      </c>
      <c r="C82" s="10">
        <v>48</v>
      </c>
      <c r="D82" s="10" t="s">
        <v>20</v>
      </c>
      <c r="E82" s="10">
        <v>36</v>
      </c>
      <c r="F82" s="10">
        <v>2</v>
      </c>
      <c r="G82" s="9">
        <v>72</v>
      </c>
      <c r="I82" s="8" t="s">
        <v>66</v>
      </c>
      <c r="J82" s="8">
        <v>6</v>
      </c>
      <c r="K82" s="10">
        <v>14</v>
      </c>
    </row>
    <row r="83" spans="1:11" x14ac:dyDescent="0.35">
      <c r="A83" s="10" t="s">
        <v>199</v>
      </c>
      <c r="B83" s="7">
        <v>45989</v>
      </c>
      <c r="C83" s="10">
        <v>48</v>
      </c>
      <c r="D83" s="10" t="s">
        <v>5</v>
      </c>
      <c r="E83" s="10">
        <v>13</v>
      </c>
      <c r="F83" s="10">
        <v>5.75</v>
      </c>
      <c r="G83" s="9">
        <v>74.75</v>
      </c>
      <c r="I83" s="8" t="s">
        <v>66</v>
      </c>
      <c r="J83" s="8">
        <v>11</v>
      </c>
      <c r="K83" s="10">
        <v>16</v>
      </c>
    </row>
    <row r="84" spans="1:11" x14ac:dyDescent="0.35">
      <c r="A84" s="10" t="s">
        <v>200</v>
      </c>
      <c r="B84" s="7">
        <v>45993</v>
      </c>
      <c r="C84" s="10">
        <v>49</v>
      </c>
      <c r="D84" s="10" t="s">
        <v>66</v>
      </c>
      <c r="E84" s="10">
        <v>24</v>
      </c>
      <c r="F84" s="10">
        <v>4.95</v>
      </c>
      <c r="G84" s="9">
        <v>118.8</v>
      </c>
      <c r="I84" s="8" t="s">
        <v>66</v>
      </c>
      <c r="J84" s="8">
        <v>15</v>
      </c>
      <c r="K84" s="10">
        <v>15</v>
      </c>
    </row>
    <row r="85" spans="1:11" x14ac:dyDescent="0.35">
      <c r="A85" s="10" t="s">
        <v>201</v>
      </c>
      <c r="B85" s="7">
        <v>45996</v>
      </c>
      <c r="C85" s="10">
        <v>49</v>
      </c>
      <c r="D85" s="10" t="s">
        <v>38</v>
      </c>
      <c r="E85" s="10">
        <v>28</v>
      </c>
      <c r="F85" s="10">
        <v>3</v>
      </c>
      <c r="G85" s="9">
        <v>84</v>
      </c>
      <c r="I85" s="8" t="s">
        <v>66</v>
      </c>
      <c r="J85" s="8">
        <v>24</v>
      </c>
      <c r="K85" s="10">
        <v>18</v>
      </c>
    </row>
    <row r="86" spans="1:11" x14ac:dyDescent="0.35">
      <c r="A86" s="10" t="s">
        <v>202</v>
      </c>
      <c r="B86" s="7">
        <v>45999</v>
      </c>
      <c r="C86" s="10">
        <v>50</v>
      </c>
      <c r="D86" s="10" t="s">
        <v>35</v>
      </c>
      <c r="E86" s="10">
        <v>16</v>
      </c>
      <c r="F86" s="10">
        <v>9.5</v>
      </c>
      <c r="G86" s="9">
        <v>152</v>
      </c>
      <c r="I86" s="8" t="s">
        <v>66</v>
      </c>
      <c r="J86" s="8">
        <v>27</v>
      </c>
      <c r="K86" s="10">
        <v>20</v>
      </c>
    </row>
    <row r="87" spans="1:11" x14ac:dyDescent="0.35">
      <c r="A87" s="10" t="s">
        <v>203</v>
      </c>
      <c r="B87" s="7">
        <v>46002</v>
      </c>
      <c r="C87" s="10">
        <v>50</v>
      </c>
      <c r="D87" s="10" t="s">
        <v>48</v>
      </c>
      <c r="E87" s="10">
        <v>15</v>
      </c>
      <c r="F87" s="10">
        <v>4.75</v>
      </c>
      <c r="G87" s="9">
        <v>71.25</v>
      </c>
      <c r="I87" s="8" t="s">
        <v>66</v>
      </c>
      <c r="J87" s="8">
        <v>31</v>
      </c>
      <c r="K87" s="10">
        <v>22</v>
      </c>
    </row>
    <row r="88" spans="1:11" x14ac:dyDescent="0.35">
      <c r="A88" s="10" t="s">
        <v>204</v>
      </c>
      <c r="B88" s="7">
        <v>46005</v>
      </c>
      <c r="C88" s="10">
        <v>51</v>
      </c>
      <c r="D88" s="10" t="s">
        <v>46</v>
      </c>
      <c r="E88" s="10">
        <v>12</v>
      </c>
      <c r="F88" s="10">
        <v>14.95</v>
      </c>
      <c r="G88" s="9">
        <v>179.4</v>
      </c>
      <c r="I88" s="8" t="s">
        <v>66</v>
      </c>
      <c r="J88" s="8">
        <v>36</v>
      </c>
      <c r="K88" s="10">
        <v>19</v>
      </c>
    </row>
    <row r="89" spans="1:11" x14ac:dyDescent="0.35">
      <c r="A89" s="10" t="s">
        <v>205</v>
      </c>
      <c r="B89" s="7">
        <v>46008</v>
      </c>
      <c r="C89" s="10">
        <v>51</v>
      </c>
      <c r="D89" s="10" t="s">
        <v>78</v>
      </c>
      <c r="E89" s="10">
        <v>14</v>
      </c>
      <c r="F89" s="10">
        <v>15.95</v>
      </c>
      <c r="G89" s="9">
        <v>223.3</v>
      </c>
      <c r="I89" s="8" t="s">
        <v>66</v>
      </c>
      <c r="J89" s="8">
        <v>40</v>
      </c>
      <c r="K89" s="10">
        <v>18</v>
      </c>
    </row>
    <row r="90" spans="1:11" x14ac:dyDescent="0.35">
      <c r="A90" s="10" t="s">
        <v>206</v>
      </c>
      <c r="B90" s="7">
        <v>46010</v>
      </c>
      <c r="C90" s="10">
        <v>51</v>
      </c>
      <c r="D90" s="10" t="s">
        <v>63</v>
      </c>
      <c r="E90" s="10">
        <v>18</v>
      </c>
      <c r="F90" s="10">
        <v>7.95</v>
      </c>
      <c r="G90" s="9">
        <v>143.1</v>
      </c>
      <c r="I90" s="8" t="s">
        <v>66</v>
      </c>
      <c r="J90" s="8">
        <v>45</v>
      </c>
      <c r="K90" s="10">
        <v>21</v>
      </c>
    </row>
    <row r="91" spans="1:11" x14ac:dyDescent="0.35">
      <c r="A91" s="10" t="s">
        <v>207</v>
      </c>
      <c r="B91" s="7">
        <v>46012</v>
      </c>
      <c r="C91" s="10">
        <v>52</v>
      </c>
      <c r="D91" s="10" t="s">
        <v>5</v>
      </c>
      <c r="E91" s="10">
        <v>16</v>
      </c>
      <c r="F91" s="10">
        <v>5.75</v>
      </c>
      <c r="G91" s="9">
        <v>92</v>
      </c>
      <c r="I91" s="8" t="s">
        <v>66</v>
      </c>
      <c r="J91" s="8">
        <v>49</v>
      </c>
      <c r="K91" s="10">
        <v>24</v>
      </c>
    </row>
    <row r="92" spans="1:11" x14ac:dyDescent="0.35">
      <c r="A92" s="10" t="s">
        <v>208</v>
      </c>
      <c r="B92" s="7">
        <v>46014</v>
      </c>
      <c r="C92" s="10">
        <v>52</v>
      </c>
      <c r="D92" s="10" t="s">
        <v>20</v>
      </c>
      <c r="E92" s="10">
        <v>42</v>
      </c>
      <c r="F92" s="10">
        <v>2</v>
      </c>
      <c r="G92" s="9">
        <v>84</v>
      </c>
      <c r="I92" s="8" t="s">
        <v>66</v>
      </c>
      <c r="J92" s="8">
        <v>52</v>
      </c>
      <c r="K92" s="10">
        <v>25</v>
      </c>
    </row>
    <row r="93" spans="1:11" x14ac:dyDescent="0.35">
      <c r="A93" s="10" t="s">
        <v>209</v>
      </c>
      <c r="B93" s="7">
        <v>46015</v>
      </c>
      <c r="C93" s="10">
        <v>52</v>
      </c>
      <c r="D93" s="10" t="s">
        <v>38</v>
      </c>
      <c r="E93" s="10">
        <v>30</v>
      </c>
      <c r="F93" s="10">
        <v>3</v>
      </c>
      <c r="G93" s="9">
        <v>90</v>
      </c>
      <c r="I93" s="8" t="s">
        <v>72</v>
      </c>
      <c r="J93" s="8">
        <v>9</v>
      </c>
      <c r="K93" s="10">
        <v>9</v>
      </c>
    </row>
    <row r="94" spans="1:11" x14ac:dyDescent="0.35">
      <c r="A94" s="10" t="s">
        <v>210</v>
      </c>
      <c r="B94" s="7">
        <v>46017</v>
      </c>
      <c r="C94" s="10">
        <v>52</v>
      </c>
      <c r="D94" s="10" t="s">
        <v>35</v>
      </c>
      <c r="E94" s="10">
        <v>18</v>
      </c>
      <c r="F94" s="10">
        <v>9.5</v>
      </c>
      <c r="G94" s="9">
        <v>171</v>
      </c>
      <c r="I94" s="8" t="s">
        <v>78</v>
      </c>
      <c r="J94" s="8">
        <v>3</v>
      </c>
      <c r="K94" s="10">
        <v>9</v>
      </c>
    </row>
    <row r="95" spans="1:11" x14ac:dyDescent="0.35">
      <c r="A95" s="10" t="s">
        <v>211</v>
      </c>
      <c r="B95" s="7">
        <v>46018</v>
      </c>
      <c r="C95" s="10">
        <v>52</v>
      </c>
      <c r="D95" s="10" t="s">
        <v>66</v>
      </c>
      <c r="E95" s="10">
        <v>25</v>
      </c>
      <c r="F95" s="10">
        <v>4.95</v>
      </c>
      <c r="G95" s="9">
        <v>123.75</v>
      </c>
      <c r="I95" s="8" t="s">
        <v>78</v>
      </c>
      <c r="J95" s="8">
        <v>12</v>
      </c>
      <c r="K95" s="10">
        <v>10</v>
      </c>
    </row>
    <row r="96" spans="1:11" x14ac:dyDescent="0.35">
      <c r="A96" s="10" t="s">
        <v>212</v>
      </c>
      <c r="B96" s="7">
        <v>46019</v>
      </c>
      <c r="C96" s="10">
        <v>53</v>
      </c>
      <c r="D96" s="10" t="s">
        <v>46</v>
      </c>
      <c r="E96" s="10">
        <v>13</v>
      </c>
      <c r="F96" s="10">
        <v>14.95</v>
      </c>
      <c r="G96" s="9">
        <v>194.35</v>
      </c>
      <c r="I96" s="8" t="s">
        <v>78</v>
      </c>
      <c r="J96" s="8">
        <v>25</v>
      </c>
      <c r="K96" s="10">
        <v>11</v>
      </c>
    </row>
    <row r="97" spans="1:11" x14ac:dyDescent="0.35">
      <c r="A97" s="10" t="s">
        <v>213</v>
      </c>
      <c r="B97" s="7">
        <v>46020</v>
      </c>
      <c r="C97" s="10">
        <v>53</v>
      </c>
      <c r="D97" s="10" t="s">
        <v>63</v>
      </c>
      <c r="E97" s="10">
        <v>20</v>
      </c>
      <c r="F97" s="10">
        <v>7.95</v>
      </c>
      <c r="G97" s="9">
        <v>159</v>
      </c>
      <c r="I97" s="8" t="s">
        <v>78</v>
      </c>
      <c r="J97" s="8">
        <v>29</v>
      </c>
      <c r="K97" s="10">
        <v>12</v>
      </c>
    </row>
    <row r="98" spans="1:11" x14ac:dyDescent="0.35">
      <c r="A98" s="10" t="s">
        <v>214</v>
      </c>
      <c r="B98" s="7">
        <v>46021</v>
      </c>
      <c r="C98" s="10">
        <v>53</v>
      </c>
      <c r="D98" s="10" t="s">
        <v>5</v>
      </c>
      <c r="E98" s="10">
        <v>18</v>
      </c>
      <c r="F98" s="10">
        <v>5.75</v>
      </c>
      <c r="G98" s="9">
        <v>103.5</v>
      </c>
      <c r="I98" s="8" t="s">
        <v>78</v>
      </c>
      <c r="J98" s="8">
        <v>34</v>
      </c>
      <c r="K98" s="10">
        <v>13</v>
      </c>
    </row>
    <row r="99" spans="1:11" x14ac:dyDescent="0.35">
      <c r="A99" s="10" t="s">
        <v>215</v>
      </c>
      <c r="B99" s="7">
        <v>46021</v>
      </c>
      <c r="C99" s="10">
        <v>53</v>
      </c>
      <c r="D99" s="10" t="s">
        <v>48</v>
      </c>
      <c r="E99" s="10">
        <v>17</v>
      </c>
      <c r="F99" s="10">
        <v>4.75</v>
      </c>
      <c r="G99" s="9">
        <v>80.75</v>
      </c>
      <c r="I99" s="8" t="s">
        <v>78</v>
      </c>
      <c r="J99" s="8">
        <v>42</v>
      </c>
      <c r="K99" s="10">
        <v>11</v>
      </c>
    </row>
    <row r="100" spans="1:11" x14ac:dyDescent="0.35">
      <c r="A100" s="10" t="s">
        <v>216</v>
      </c>
      <c r="B100" s="7">
        <v>46022</v>
      </c>
      <c r="C100" s="10">
        <v>53</v>
      </c>
      <c r="D100" s="10" t="s">
        <v>78</v>
      </c>
      <c r="E100" s="10">
        <v>15</v>
      </c>
      <c r="F100" s="10">
        <v>15.95</v>
      </c>
      <c r="G100" s="9">
        <v>239.25</v>
      </c>
      <c r="I100" s="8" t="s">
        <v>78</v>
      </c>
      <c r="J100" s="8">
        <v>47</v>
      </c>
      <c r="K100" s="10">
        <v>12</v>
      </c>
    </row>
    <row r="101" spans="1:11" x14ac:dyDescent="0.35">
      <c r="A101" s="10" t="s">
        <v>217</v>
      </c>
      <c r="B101" s="7">
        <v>46022</v>
      </c>
      <c r="C101" s="10">
        <v>53</v>
      </c>
      <c r="D101" s="10" t="s">
        <v>20</v>
      </c>
      <c r="E101" s="10">
        <v>45</v>
      </c>
      <c r="F101" s="10">
        <v>2</v>
      </c>
      <c r="G101" s="9">
        <v>90</v>
      </c>
      <c r="I101" s="8" t="s">
        <v>78</v>
      </c>
      <c r="J101" s="8">
        <v>51</v>
      </c>
      <c r="K101" s="10">
        <v>14</v>
      </c>
    </row>
    <row r="102" spans="1:11" x14ac:dyDescent="0.35">
      <c r="I102" s="8" t="s">
        <v>78</v>
      </c>
      <c r="J102" s="8">
        <v>53</v>
      </c>
      <c r="K102" s="10">
        <v>15</v>
      </c>
    </row>
    <row r="103" spans="1:11" x14ac:dyDescent="0.35">
      <c r="I103" s="8" t="s">
        <v>83</v>
      </c>
      <c r="J103" s="8">
        <v>8</v>
      </c>
      <c r="K103" s="10">
        <v>6</v>
      </c>
    </row>
    <row r="104" spans="1:11" x14ac:dyDescent="0.35">
      <c r="I104" s="8" t="s">
        <v>83</v>
      </c>
      <c r="J104" s="8">
        <v>21</v>
      </c>
      <c r="K104" s="10">
        <v>8</v>
      </c>
    </row>
    <row r="105" spans="1:11" x14ac:dyDescent="0.35">
      <c r="I105" s="8" t="s">
        <v>91</v>
      </c>
      <c r="J105" s="8">
        <v>3</v>
      </c>
      <c r="K105" s="10">
        <v>5</v>
      </c>
    </row>
    <row r="106" spans="1:11" x14ac:dyDescent="0.35">
      <c r="I106" s="8" t="s">
        <v>91</v>
      </c>
      <c r="J106" s="8">
        <v>15</v>
      </c>
      <c r="K106" s="10">
        <v>6</v>
      </c>
    </row>
    <row r="107" spans="1:11" x14ac:dyDescent="0.35">
      <c r="I107" s="8" t="s">
        <v>96</v>
      </c>
      <c r="J107" s="8">
        <v>8</v>
      </c>
      <c r="K107" s="10">
        <v>7</v>
      </c>
    </row>
    <row r="108" spans="1:11" x14ac:dyDescent="0.35">
      <c r="I108" s="8" t="s">
        <v>279</v>
      </c>
      <c r="J108" s="8"/>
      <c r="K108" s="10">
        <v>1712</v>
      </c>
    </row>
  </sheetData>
  <pageMargins left="0.7" right="0.7" top="0.75" bottom="0.75" header="0.3" footer="0.3"/>
  <pageSetup orientation="portrait"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selection activeCell="J13" sqref="J13"/>
    </sheetView>
  </sheetViews>
  <sheetFormatPr defaultRowHeight="14.5" x14ac:dyDescent="0.35"/>
  <cols>
    <col min="1" max="1" width="14.81640625" style="4" bestFit="1" customWidth="1"/>
    <col min="2" max="2" width="18.54296875" style="4" bestFit="1" customWidth="1"/>
    <col min="3" max="3" width="22.7265625" style="4" bestFit="1" customWidth="1"/>
    <col min="4" max="4" width="20.81640625" style="4" customWidth="1"/>
    <col min="5" max="5" width="13.81640625" style="4" bestFit="1" customWidth="1"/>
    <col min="6" max="6" width="15.54296875" style="4" bestFit="1" customWidth="1"/>
    <col min="7" max="7" width="8.90625" style="4" bestFit="1" customWidth="1"/>
    <col min="8" max="16384" width="8.7265625" style="4"/>
  </cols>
  <sheetData>
    <row r="1" spans="1:7" x14ac:dyDescent="0.35">
      <c r="A1" s="19" t="s">
        <v>0</v>
      </c>
      <c r="B1" s="20" t="s">
        <v>267</v>
      </c>
      <c r="C1" s="20" t="s">
        <v>277</v>
      </c>
      <c r="D1" s="20" t="s">
        <v>273</v>
      </c>
      <c r="E1" s="21" t="s">
        <v>274</v>
      </c>
      <c r="F1" s="22" t="s">
        <v>275</v>
      </c>
      <c r="G1" s="22" t="s">
        <v>276</v>
      </c>
    </row>
    <row r="2" spans="1:7" x14ac:dyDescent="0.35">
      <c r="A2" t="s">
        <v>5</v>
      </c>
      <c r="B2" s="4">
        <f>SUMIF(Sales[Product_ID],'Product Analysis'!A2,Sales[Quantity])</f>
        <v>142</v>
      </c>
      <c r="C2" s="23">
        <f>INDEX(avg_demand[Average of Weekly Demand],MATCH(Table9[Product_ID],avg_demand[Product_ID]))</f>
        <v>14.2</v>
      </c>
      <c r="D2" s="23">
        <f>_xlfn.STDEV.S(Weekly_Demand_P1)</f>
        <v>2.3944379994757274</v>
      </c>
      <c r="E2" s="4">
        <f>Purchase[LeadTime]</f>
        <v>2</v>
      </c>
      <c r="F2" s="27">
        <f t="shared" ref="F2:F16" si="0">1.65*C2*SQRT(E2)</f>
        <v>33.135023766401616</v>
      </c>
      <c r="G2" s="27">
        <f>Table9[Avg Weekly Demand]*Table9[Lead Time]+Table9[Safety Stock]</f>
        <v>61.535023766401615</v>
      </c>
    </row>
    <row r="3" spans="1:7" x14ac:dyDescent="0.35">
      <c r="A3" t="s">
        <v>20</v>
      </c>
      <c r="B3" s="4">
        <f>SUMIF(Sales[Product_ID],'Product Analysis'!A3,Sales[Quantity])</f>
        <v>410</v>
      </c>
      <c r="C3" s="23">
        <f>INDEX(avg_demand[Average of Weekly Demand],MATCH(Table9[Product_ID],avg_demand[Product_ID]))</f>
        <v>34.166666666666664</v>
      </c>
      <c r="D3" s="23">
        <f>_xlfn.STDEV.S(Weekly_Demand_P8)</f>
        <v>6.4784023470063135</v>
      </c>
      <c r="E3" s="4">
        <f>Purchase[LeadTime]</f>
        <v>3</v>
      </c>
      <c r="F3" s="27">
        <f t="shared" si="0"/>
        <v>97.644364276695441</v>
      </c>
      <c r="G3" s="27">
        <f>Table9[Avg Weekly Demand]*Table9[Lead Time]+Table9[Safety Stock]</f>
        <v>200.14436427669546</v>
      </c>
    </row>
    <row r="4" spans="1:7" x14ac:dyDescent="0.35">
      <c r="A4" t="s">
        <v>35</v>
      </c>
      <c r="B4" s="4">
        <f>SUMIF(Sales[Product_ID],'Product Analysis'!A4,Sales[Quantity])</f>
        <v>141</v>
      </c>
      <c r="C4" s="23">
        <f>INDEX(avg_demand[Average of Weekly Demand],MATCH(Table9[Product_ID],avg_demand[Product_ID]))</f>
        <v>12.818181818181818</v>
      </c>
      <c r="D4" s="23">
        <f>_xlfn.STDEV.S(Weekly_Demand_P15)</f>
        <v>2.9939332597164507</v>
      </c>
      <c r="E4" s="4">
        <f>Purchase[LeadTime]</f>
        <v>4</v>
      </c>
      <c r="F4" s="27">
        <f t="shared" si="0"/>
        <v>42.3</v>
      </c>
      <c r="G4" s="27">
        <f>Table9[Avg Weekly Demand]*Table9[Lead Time]+Table9[Safety Stock]</f>
        <v>93.572727272727263</v>
      </c>
    </row>
    <row r="5" spans="1:7" x14ac:dyDescent="0.35">
      <c r="A5" t="s">
        <v>38</v>
      </c>
      <c r="B5" s="4">
        <f>SUMIF(Sales[Product_ID],'Product Analysis'!A5,Sales[Quantity])</f>
        <v>292</v>
      </c>
      <c r="C5" s="23">
        <f>INDEX(avg_demand[Average of Weekly Demand],MATCH(Table9[Product_ID],avg_demand[Product_ID]))</f>
        <v>24.333333333333332</v>
      </c>
      <c r="D5" s="23">
        <f>_xlfn.STDEV.S(Weekly_Demand_P16)</f>
        <v>4.2067766397765549</v>
      </c>
      <c r="E5" s="4">
        <f>Purchase[LeadTime]</f>
        <v>2</v>
      </c>
      <c r="F5" s="27">
        <f t="shared" si="0"/>
        <v>56.780674529279771</v>
      </c>
      <c r="G5" s="27">
        <f>Table9[Avg Weekly Demand]*Table9[Lead Time]+Table9[Safety Stock]</f>
        <v>105.44734119594644</v>
      </c>
    </row>
    <row r="6" spans="1:7" x14ac:dyDescent="0.35">
      <c r="A6" t="s">
        <v>40</v>
      </c>
      <c r="B6" s="4">
        <f>SUMIF(Sales[Product_ID],'Product Analysis'!A6,Sales[Quantity])</f>
        <v>15</v>
      </c>
      <c r="C6" s="23">
        <f>INDEX(avg_demand[Average of Weekly Demand],MATCH(Table9[Product_ID],avg_demand[Product_ID]))</f>
        <v>15</v>
      </c>
      <c r="D6" s="4">
        <v>0</v>
      </c>
      <c r="E6" s="4">
        <f>Purchase[LeadTime]</f>
        <v>5</v>
      </c>
      <c r="F6" s="27">
        <f t="shared" si="0"/>
        <v>55.342682443119799</v>
      </c>
      <c r="G6" s="27">
        <f>Table9[Avg Weekly Demand]*Table9[Lead Time]+Table9[Safety Stock]</f>
        <v>130.3426824431198</v>
      </c>
    </row>
    <row r="7" spans="1:7" x14ac:dyDescent="0.35">
      <c r="A7" t="s">
        <v>46</v>
      </c>
      <c r="B7" s="4">
        <f>SUMIF(Sales[Product_ID],'Product Analysis'!A7,Sales[Quantity])</f>
        <v>76</v>
      </c>
      <c r="C7" s="23">
        <f>INDEX(avg_demand[Average of Weekly Demand],MATCH(Table9[Product_ID],avg_demand[Product_ID]))</f>
        <v>9.5</v>
      </c>
      <c r="D7" s="23">
        <f>_xlfn.STDEV.S(Weekly_Demand_P20)</f>
        <v>2.4494897427831779</v>
      </c>
      <c r="E7" s="4">
        <f>Purchase[LeadTime]</f>
        <v>4</v>
      </c>
      <c r="F7" s="27">
        <f t="shared" si="0"/>
        <v>31.349999999999998</v>
      </c>
      <c r="G7" s="27">
        <f>Table9[Avg Weekly Demand]*Table9[Lead Time]+Table9[Safety Stock]</f>
        <v>69.349999999999994</v>
      </c>
    </row>
    <row r="8" spans="1:7" x14ac:dyDescent="0.35">
      <c r="A8" t="s">
        <v>48</v>
      </c>
      <c r="B8" s="4">
        <f>SUMIF(Sales[Product_ID],'Product Analysis'!A8,Sales[Quantity])</f>
        <v>109</v>
      </c>
      <c r="C8" s="23">
        <f>INDEX(avg_demand[Average of Weekly Demand],MATCH(Table9[Product_ID],avg_demand[Product_ID]))</f>
        <v>13.625</v>
      </c>
      <c r="D8" s="23">
        <f>_xlfn.STDEV.S(Weekly_Demand_P21)</f>
        <v>2.2638462845343543</v>
      </c>
      <c r="E8" s="4">
        <f>Purchase[LeadTime]</f>
        <v>2</v>
      </c>
      <c r="F8" s="27">
        <f t="shared" si="0"/>
        <v>31.793288649100145</v>
      </c>
      <c r="G8" s="27">
        <f>Table9[Avg Weekly Demand]*Table9[Lead Time]+Table9[Safety Stock]</f>
        <v>59.043288649100148</v>
      </c>
    </row>
    <row r="9" spans="1:7" x14ac:dyDescent="0.35">
      <c r="A9" t="s">
        <v>53</v>
      </c>
      <c r="B9" s="4">
        <f>SUMIF(Sales[Product_ID],'Product Analysis'!A9,Sales[Quantity])</f>
        <v>18</v>
      </c>
      <c r="C9" s="23">
        <f>INDEX(avg_demand[Average of Weekly Demand],MATCH(Table9[Product_ID],avg_demand[Product_ID]))</f>
        <v>9</v>
      </c>
      <c r="D9" s="23">
        <f>_xlfn.STDEV.S(Weekly_Demand_P23)</f>
        <v>1.4142135623730951</v>
      </c>
      <c r="E9" s="4">
        <f>Purchase[LeadTime]</f>
        <v>3</v>
      </c>
      <c r="F9" s="27">
        <f t="shared" si="0"/>
        <v>25.720954492397826</v>
      </c>
      <c r="G9" s="27">
        <f>Table9[Avg Weekly Demand]*Table9[Lead Time]+Table9[Safety Stock]</f>
        <v>52.720954492397823</v>
      </c>
    </row>
    <row r="10" spans="1:7" x14ac:dyDescent="0.35">
      <c r="A10" t="s">
        <v>63</v>
      </c>
      <c r="B10" s="4">
        <f>SUMIF(Sales[Product_ID],'Product Analysis'!A10,Sales[Quantity])</f>
        <v>137</v>
      </c>
      <c r="C10" s="23">
        <f>INDEX(avg_demand[Average of Weekly Demand],MATCH(Table9[Product_ID],avg_demand[Product_ID]))</f>
        <v>15.222222222222221</v>
      </c>
      <c r="D10" s="23">
        <f>_xlfn.STDEV.S(Weekly_Demand_P28)</f>
        <v>2.4888640871780154</v>
      </c>
      <c r="E10" s="4">
        <f>Purchase[LeadTime]</f>
        <v>3</v>
      </c>
      <c r="F10" s="27">
        <f t="shared" si="0"/>
        <v>43.503342783438292</v>
      </c>
      <c r="G10" s="27">
        <f>Table9[Avg Weekly Demand]*Table9[Lead Time]+Table9[Safety Stock]</f>
        <v>89.170009450104956</v>
      </c>
    </row>
    <row r="11" spans="1:7" x14ac:dyDescent="0.35">
      <c r="A11" t="s">
        <v>66</v>
      </c>
      <c r="B11" s="4">
        <f>SUMIF(Sales[Product_ID],'Product Analysis'!A11,Sales[Quantity])</f>
        <v>224</v>
      </c>
      <c r="C11" s="23">
        <f>INDEX(avg_demand[Average of Weekly Demand],MATCH(Table9[Product_ID],avg_demand[Product_ID]))</f>
        <v>18.666666666666668</v>
      </c>
      <c r="D11" s="23">
        <f>_xlfn.STDEV.S(Weekly_Demand_P29)</f>
        <v>3.9848196795824911</v>
      </c>
      <c r="E11" s="4">
        <f>Purchase[LeadTime]</f>
        <v>5</v>
      </c>
      <c r="F11" s="27">
        <f t="shared" si="0"/>
        <v>68.870893706993527</v>
      </c>
      <c r="G11" s="27">
        <f>Table9[Avg Weekly Demand]*Table9[Lead Time]+Table9[Safety Stock]</f>
        <v>162.20422704032688</v>
      </c>
    </row>
    <row r="12" spans="1:7" x14ac:dyDescent="0.35">
      <c r="A12" t="s">
        <v>72</v>
      </c>
      <c r="B12" s="4">
        <f>SUMIF(Sales[Product_ID],'Product Analysis'!A12,Sales[Quantity])</f>
        <v>9</v>
      </c>
      <c r="C12" s="23">
        <f>INDEX(avg_demand[Average of Weekly Demand],MATCH(Table9[Product_ID],avg_demand[Product_ID]))</f>
        <v>9</v>
      </c>
      <c r="D12" s="23">
        <v>0</v>
      </c>
      <c r="E12" s="4">
        <f>Purchase[LeadTime]</f>
        <v>6</v>
      </c>
      <c r="F12" s="27">
        <f t="shared" si="0"/>
        <v>36.374922680330194</v>
      </c>
      <c r="G12" s="27">
        <f>Table9[Avg Weekly Demand]*Table9[Lead Time]+Table9[Safety Stock]</f>
        <v>90.374922680330201</v>
      </c>
    </row>
    <row r="13" spans="1:7" x14ac:dyDescent="0.35">
      <c r="A13" t="s">
        <v>78</v>
      </c>
      <c r="B13" s="4">
        <f>SUMIF(Sales[Product_ID],'Product Analysis'!A13,Sales[Quantity])</f>
        <v>107</v>
      </c>
      <c r="C13" s="23">
        <f>INDEX(avg_demand[Average of Weekly Demand],MATCH(Table9[Product_ID],avg_demand[Product_ID]))</f>
        <v>11.888888888888889</v>
      </c>
      <c r="D13" s="23">
        <f>_xlfn.STDEV.S(Weekly_Demand_P35)</f>
        <v>1.9002923751652308</v>
      </c>
      <c r="E13" s="4">
        <f>Purchase[LeadTime]</f>
        <v>2</v>
      </c>
      <c r="F13" s="27">
        <f t="shared" si="0"/>
        <v>27.742156048552218</v>
      </c>
      <c r="G13" s="27">
        <f>Table9[Avg Weekly Demand]*Table9[Lead Time]+Table9[Safety Stock]</f>
        <v>51.519933826329996</v>
      </c>
    </row>
    <row r="14" spans="1:7" x14ac:dyDescent="0.35">
      <c r="A14" t="s">
        <v>83</v>
      </c>
      <c r="B14" s="4">
        <f>SUMIF(Sales[Product_ID],'Product Analysis'!A14,Sales[Quantity])</f>
        <v>14</v>
      </c>
      <c r="C14" s="23">
        <f>INDEX(avg_demand[Average of Weekly Demand],MATCH(Table9[Product_ID],avg_demand[Product_ID]))</f>
        <v>7</v>
      </c>
      <c r="D14" s="23">
        <f>_xlfn.STDEV.S(Weekly_Demand_P37)</f>
        <v>1.4142135623730951</v>
      </c>
      <c r="E14" s="4">
        <f>Purchase[LeadTime]</f>
        <v>3</v>
      </c>
      <c r="F14" s="27">
        <f t="shared" si="0"/>
        <v>20.00518682742053</v>
      </c>
      <c r="G14" s="27">
        <f>Table9[Avg Weekly Demand]*Table9[Lead Time]+Table9[Safety Stock]</f>
        <v>41.00518682742053</v>
      </c>
    </row>
    <row r="15" spans="1:7" x14ac:dyDescent="0.35">
      <c r="A15" t="s">
        <v>91</v>
      </c>
      <c r="B15" s="4">
        <f>SUMIF(Sales[Product_ID],'Product Analysis'!A15,Sales[Quantity])</f>
        <v>11</v>
      </c>
      <c r="C15" s="23">
        <f>INDEX(avg_demand[Average of Weekly Demand],MATCH(Table9[Product_ID],avg_demand[Product_ID]))</f>
        <v>5.5</v>
      </c>
      <c r="D15" s="23">
        <f>_xlfn.STDEV.S(Weekly_Demand_P41)</f>
        <v>0.70710678118654757</v>
      </c>
      <c r="E15" s="4">
        <f>Purchase[LeadTime]</f>
        <v>3</v>
      </c>
      <c r="F15" s="27">
        <f t="shared" si="0"/>
        <v>15.718361078687559</v>
      </c>
      <c r="G15" s="27">
        <f>Table9[Avg Weekly Demand]*Table9[Lead Time]+Table9[Safety Stock]</f>
        <v>32.218361078687558</v>
      </c>
    </row>
    <row r="16" spans="1:7" x14ac:dyDescent="0.35">
      <c r="A16" t="s">
        <v>96</v>
      </c>
      <c r="B16" s="4">
        <f>SUMIF(Sales[Product_ID],'Product Analysis'!A16,Sales[Quantity])</f>
        <v>7</v>
      </c>
      <c r="C16" s="23">
        <f>INDEX(avg_demand[Average of Weekly Demand],MATCH(Table9[Product_ID],avg_demand[Product_ID]))</f>
        <v>7</v>
      </c>
      <c r="D16" s="23">
        <v>0</v>
      </c>
      <c r="E16" s="4">
        <f>Purchase[LeadTime]</f>
        <v>4</v>
      </c>
      <c r="F16" s="27">
        <f t="shared" si="0"/>
        <v>23.099999999999998</v>
      </c>
      <c r="G16" s="27">
        <f>Table9[Avg Weekly Demand]*Table9[Lead Time]+Table9[Safety Stock]</f>
        <v>51.099999999999994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54E885-20ED-4A9F-950E-F0E6B89F1C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22</vt:i4>
      </vt:variant>
    </vt:vector>
  </HeadingPairs>
  <TitlesOfParts>
    <vt:vector size="29" baseType="lpstr">
      <vt:lpstr>Products</vt:lpstr>
      <vt:lpstr>Cleaned Data</vt:lpstr>
      <vt:lpstr>Purchase</vt:lpstr>
      <vt:lpstr>Opening</vt:lpstr>
      <vt:lpstr>Inventory_Movement</vt:lpstr>
      <vt:lpstr>Sales</vt:lpstr>
      <vt:lpstr>Product Analysis</vt:lpstr>
      <vt:lpstr>Average_Selling_Price</vt:lpstr>
      <vt:lpstr>Total_Purchased_Units</vt:lpstr>
      <vt:lpstr>Total_Purchases</vt:lpstr>
      <vt:lpstr>Total_Revenue</vt:lpstr>
      <vt:lpstr>Total_Stock_In</vt:lpstr>
      <vt:lpstr>Total_Stock_Out</vt:lpstr>
      <vt:lpstr>Total_Units_Sold</vt:lpstr>
      <vt:lpstr>Weekly_Demand_P1</vt:lpstr>
      <vt:lpstr>Weekly_Demand_P15</vt:lpstr>
      <vt:lpstr>Weekly_Demand_P16</vt:lpstr>
      <vt:lpstr>Weekly_Demand_P17</vt:lpstr>
      <vt:lpstr>Weekly_Demand_P20</vt:lpstr>
      <vt:lpstr>Weekly_Demand_P21</vt:lpstr>
      <vt:lpstr>Weekly_Demand_P23</vt:lpstr>
      <vt:lpstr>Weekly_Demand_P28</vt:lpstr>
      <vt:lpstr>Weekly_Demand_P29</vt:lpstr>
      <vt:lpstr>Weekly_Demand_P32</vt:lpstr>
      <vt:lpstr>Weekly_Demand_P35</vt:lpstr>
      <vt:lpstr>Weekly_Demand_P37</vt:lpstr>
      <vt:lpstr>Weekly_Demand_P41</vt:lpstr>
      <vt:lpstr>Weekly_Demand_P43</vt:lpstr>
      <vt:lpstr>Weekly_Demand_P8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2026-03-08T09:42:41Z</dcterms:created>
  <dcterms:modified xsi:type="dcterms:W3CDTF">2026-03-30T16:45:40Z</dcterms:modified>
</cp:coreProperties>
</file>